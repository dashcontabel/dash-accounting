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DEDADOS" sheetId="1" r:id="rId5"/>
    <sheet state="visible" name="Balancete" sheetId="2" r:id="rId6"/>
    <sheet state="visible" name="TIPO DASH" sheetId="3" r:id="rId7"/>
    <sheet state="visible" name="Página1" sheetId="4" r:id="rId8"/>
  </sheets>
  <definedNames/>
  <calcPr/>
</workbook>
</file>

<file path=xl/sharedStrings.xml><?xml version="1.0" encoding="utf-8"?>
<sst xmlns="http://schemas.openxmlformats.org/spreadsheetml/2006/main" count="227" uniqueCount="197">
  <si>
    <t>EMPRESA</t>
  </si>
  <si>
    <t>MÊS</t>
  </si>
  <si>
    <t>ANOS</t>
  </si>
  <si>
    <t>FATURAMENTO</t>
  </si>
  <si>
    <t>NFS RECEBIDAS</t>
  </si>
  <si>
    <t>LRA2</t>
  </si>
  <si>
    <t>LRA3</t>
  </si>
  <si>
    <t>B.VISTA</t>
  </si>
  <si>
    <t>TRAPICHE</t>
  </si>
  <si>
    <t>ALUGUEL</t>
  </si>
  <si>
    <t>RENTABILIDADE</t>
  </si>
  <si>
    <t>IMPOSTOS</t>
  </si>
  <si>
    <t>IOF/IRRF</t>
  </si>
  <si>
    <t>CONDOMÍNIO</t>
  </si>
  <si>
    <t>DISTRIB. LUCROS</t>
  </si>
  <si>
    <t>DEMAIS DESPESAS</t>
  </si>
  <si>
    <t>SD BANCÁRIO</t>
  </si>
  <si>
    <t>BLUB</t>
  </si>
  <si>
    <t>JAN</t>
  </si>
  <si>
    <t>PETRA</t>
  </si>
  <si>
    <t>PRUMO</t>
  </si>
  <si>
    <t>PONTOS</t>
  </si>
  <si>
    <t>AMPM</t>
  </si>
  <si>
    <t>PLACA</t>
  </si>
  <si>
    <t>Empresa:</t>
  </si>
  <si>
    <t>AMPM ENGENHARIA E PARTICIPAÇÕES LTDA</t>
  </si>
  <si>
    <t>Folha:</t>
  </si>
  <si>
    <t>C.N.P.J.:</t>
  </si>
  <si>
    <t>30.306.729/0001-51</t>
  </si>
  <si>
    <t>Número livro:</t>
  </si>
  <si>
    <t>Período:</t>
  </si>
  <si>
    <t>01/01/2024 - 31/01/2024</t>
  </si>
  <si>
    <t>Emissão:</t>
  </si>
  <si>
    <t>Hora:</t>
  </si>
  <si>
    <t>BALANCETE</t>
  </si>
  <si>
    <t>Código</t>
  </si>
  <si>
    <t>Classificação</t>
  </si>
  <si>
    <t>Descrição da conta</t>
  </si>
  <si>
    <t>Saldo Anterior</t>
  </si>
  <si>
    <t>Débito</t>
  </si>
  <si>
    <t>Crédito</t>
  </si>
  <si>
    <t>Saldo Atual</t>
  </si>
  <si>
    <t>1</t>
  </si>
  <si>
    <t>ATIVO</t>
  </si>
  <si>
    <t>1.1</t>
  </si>
  <si>
    <t>ATIVO CIRCULANTE</t>
  </si>
  <si>
    <t>1.1.1</t>
  </si>
  <si>
    <t>DISPONÍVEL</t>
  </si>
  <si>
    <t>1.1.1.02</t>
  </si>
  <si>
    <t>BANCOS CONTA MOVIMENTO</t>
  </si>
  <si>
    <t>1.1.1.02.001</t>
  </si>
  <si>
    <t>BANCO DO BRASIL</t>
  </si>
  <si>
    <t>1.1.1.02.003</t>
  </si>
  <si>
    <t>ITAU</t>
  </si>
  <si>
    <t>1.1.1.03</t>
  </si>
  <si>
    <t>APLICAÇÕES FINANCEIRAS LIQUIDEZ IMEDIATA</t>
  </si>
  <si>
    <t>1.1.1.03.002</t>
  </si>
  <si>
    <t>BB RENDE FACIL</t>
  </si>
  <si>
    <t>1.1.1.03.004</t>
  </si>
  <si>
    <t>BB RF SIMPLES ÁGIL</t>
  </si>
  <si>
    <t>1.1.1.03.005</t>
  </si>
  <si>
    <t>ITAU CDB</t>
  </si>
  <si>
    <t>1.1.1.03.006</t>
  </si>
  <si>
    <t>XP INVESTIMENTOS</t>
  </si>
  <si>
    <t>1.1.2</t>
  </si>
  <si>
    <t>CLIENTES</t>
  </si>
  <si>
    <t>1.1.2.01</t>
  </si>
  <si>
    <t>DUPLICATAS A RECEBER</t>
  </si>
  <si>
    <t>1.1.2.01.001</t>
  </si>
  <si>
    <t>CUATRO PARTICIPAÇÕES S/A</t>
  </si>
  <si>
    <t>GIMAT PATRIMONIAL LTDA</t>
  </si>
  <si>
    <t>GLG EMPREENDIMENTOS LTDA</t>
  </si>
  <si>
    <t>ITAESBRA INDUSTRIA MECANICA LTDA</t>
  </si>
  <si>
    <t>NOVO ATACADO COMERCIO DE ALIMENTOS LTDA</t>
  </si>
  <si>
    <t>RIACHO VERDE EMPREENDIMENTOS S A</t>
  </si>
  <si>
    <t>SANTA BARBARA EMPREENDIMENTOS IMOBILIARIOS E PARTICIPAÇÕES LTDA</t>
  </si>
  <si>
    <t>1.1.3</t>
  </si>
  <si>
    <t>OUTROS CRÉDITOS</t>
  </si>
  <si>
    <t>1.1.3.08</t>
  </si>
  <si>
    <t>TRIBUTOS A RECUPERAR/COMPENSAR</t>
  </si>
  <si>
    <t>1.1.3.08.003</t>
  </si>
  <si>
    <t>IRRF A RECUPERAR</t>
  </si>
  <si>
    <t>1.1.3.08.007</t>
  </si>
  <si>
    <t>CONTRIBUIÇÃO SOCIAL RETIDO A COMPENSAR</t>
  </si>
  <si>
    <t>1.1.3.08.008</t>
  </si>
  <si>
    <t>COFINS RETIDO A COMPENSAR</t>
  </si>
  <si>
    <t>1.1.3.08.009</t>
  </si>
  <si>
    <t>PIS RETIDO A COMPENSAR</t>
  </si>
  <si>
    <t>1.1.6</t>
  </si>
  <si>
    <t>ADIANTAMENTO A SÓCIOS</t>
  </si>
  <si>
    <t>1.1.6.01</t>
  </si>
  <si>
    <t>DESPESAS DE MESES SEGUINTES</t>
  </si>
  <si>
    <t>1.1.6.01.003</t>
  </si>
  <si>
    <t>Pedro Maia Cavalcanti</t>
  </si>
  <si>
    <t>1.1.6.01.004</t>
  </si>
  <si>
    <t>Augusto Magno Cavalcanti</t>
  </si>
  <si>
    <t>2</t>
  </si>
  <si>
    <t>PASSIVO</t>
  </si>
  <si>
    <t>2.1</t>
  </si>
  <si>
    <t>PASSIVO CIRCULANTE</t>
  </si>
  <si>
    <t>2.1.4</t>
  </si>
  <si>
    <t>OBRIGAÇÕES TRIBUTÁRIAS</t>
  </si>
  <si>
    <t>2.1.4.01</t>
  </si>
  <si>
    <t>IMPOSTOS E CONTRIBUIÇÕES A RECOLHER</t>
  </si>
  <si>
    <t>2.1.4.01.006</t>
  </si>
  <si>
    <t>IMPOSTO DE RENDA A RECOLHER</t>
  </si>
  <si>
    <t>2.1.4.01.007</t>
  </si>
  <si>
    <t>CONTRIBUIÇÃO SOCIAL A RECOLHER</t>
  </si>
  <si>
    <t>2.2</t>
  </si>
  <si>
    <t>PASSIVO NÃO-CIRCULANTE</t>
  </si>
  <si>
    <t>2.2.1</t>
  </si>
  <si>
    <t>PASSIVO EXIGÍVEL A LONGO PRAZO</t>
  </si>
  <si>
    <t>2.2.1.02</t>
  </si>
  <si>
    <t>FORNECEDORES</t>
  </si>
  <si>
    <t>2.2.1.02.001</t>
  </si>
  <si>
    <t>2.2.1.02.001.001</t>
  </si>
  <si>
    <t>FORNECEDOR A</t>
  </si>
  <si>
    <t>2.2.1.02.001.002</t>
  </si>
  <si>
    <t>FORNECEDOR B</t>
  </si>
  <si>
    <t>2.3</t>
  </si>
  <si>
    <t>PATRIMÔNIO LÍQUIDO</t>
  </si>
  <si>
    <t>2.3.1</t>
  </si>
  <si>
    <t>CAPITAL SOCIAL</t>
  </si>
  <si>
    <t>2.3.1.01</t>
  </si>
  <si>
    <t>CAPITAL SUBSCRITO</t>
  </si>
  <si>
    <t>2.3.1.01.001</t>
  </si>
  <si>
    <t>2.3.5</t>
  </si>
  <si>
    <t>LUCROS OU PREJUÍZOS ACUMULADOS</t>
  </si>
  <si>
    <t>2.3.5.01</t>
  </si>
  <si>
    <t>2.3.5.01.001</t>
  </si>
  <si>
    <t>LUCROS ACUMULADOS</t>
  </si>
  <si>
    <t>2.3.5.01.002</t>
  </si>
  <si>
    <t>(-) PREJUÍZOS ACUMULADOS</t>
  </si>
  <si>
    <t>3</t>
  </si>
  <si>
    <t>CONTAS DE RESULTADOS - CUSTOS E DESPESAS</t>
  </si>
  <si>
    <t>3.2</t>
  </si>
  <si>
    <t>DESPESAS OPERACIONAIS</t>
  </si>
  <si>
    <t>3.2.1</t>
  </si>
  <si>
    <t>DESPESAS COM VENDAS</t>
  </si>
  <si>
    <t>3.2.1.08</t>
  </si>
  <si>
    <t xml:space="preserve">SERVIÇOS PRESTADOS POR TERCEIROS </t>
  </si>
  <si>
    <t>3.2.1.08.005</t>
  </si>
  <si>
    <t>SERVIÇOS CONTÁBEIS</t>
  </si>
  <si>
    <t>3.2.1.08.009</t>
  </si>
  <si>
    <t>SERV. CONSULTORIA EM ENGENHARIA</t>
  </si>
  <si>
    <t>3.2.1.08.013</t>
  </si>
  <si>
    <t>SERV. DE APOIO ADMINISTRATIVO</t>
  </si>
  <si>
    <t>3.2.2</t>
  </si>
  <si>
    <t>DESPESAS ADMINISTRATIVAS</t>
  </si>
  <si>
    <t>3.2.2.03</t>
  </si>
  <si>
    <t>IMPOSTOS, TAXAS E CONTRIBUIÇÕES</t>
  </si>
  <si>
    <t>3.2.2.03.008</t>
  </si>
  <si>
    <t>CONSELHOS - REGIONAIS E FEDERAIS</t>
  </si>
  <si>
    <t>3.2.2.03.014</t>
  </si>
  <si>
    <t>ISS S/FATURAMENTO</t>
  </si>
  <si>
    <t>3.2.2.05</t>
  </si>
  <si>
    <t>DESPESAS FINANCEIRAS</t>
  </si>
  <si>
    <t>3.2.2.05.009</t>
  </si>
  <si>
    <t>DESPESAS BANCARIAS</t>
  </si>
  <si>
    <t>4</t>
  </si>
  <si>
    <t>CONTAS DE RESULTADO - RECEITAS</t>
  </si>
  <si>
    <t>4.1</t>
  </si>
  <si>
    <t>RECEITAS OPERACIONAIS</t>
  </si>
  <si>
    <t>4.1.1</t>
  </si>
  <si>
    <t>RECEITA BRUTA DE VENDAS E SERVIÇOS</t>
  </si>
  <si>
    <t>4.1.1.02</t>
  </si>
  <si>
    <t>RECEITA DE PRESTAÇÃO DE SERVIÇOS</t>
  </si>
  <si>
    <t>4.1.1.02.001</t>
  </si>
  <si>
    <t>SERVIÇOS PRESTADOS</t>
  </si>
  <si>
    <t>4.1.3</t>
  </si>
  <si>
    <t>RECEITAS FINANCEIRAS</t>
  </si>
  <si>
    <t>4.1.3.03</t>
  </si>
  <si>
    <t>RENDIMENTOS DE APLICAÇÕES</t>
  </si>
  <si>
    <t>4.1.3.03.001</t>
  </si>
  <si>
    <t>RESUMO DO BALANCETE</t>
  </si>
  <si>
    <t>CONTAS DE APURAÇÃO</t>
  </si>
  <si>
    <t>CONTAS DEVEDORAS</t>
  </si>
  <si>
    <t>CONTAS CREDORAS</t>
  </si>
  <si>
    <t>RESULTADO DO MES</t>
  </si>
  <si>
    <t>RESULTADO DO EXERCÍCIO</t>
  </si>
  <si>
    <t>Sistema licenciado para BARROS E SA CONTABILIDADE LTDA</t>
  </si>
  <si>
    <t>EMPRESAS</t>
  </si>
  <si>
    <t>MESES</t>
  </si>
  <si>
    <t>RECEITAS</t>
  </si>
  <si>
    <r>
      <rPr>
        <rFont val="Calibri"/>
        <b/>
        <color rgb="FF000000"/>
      </rPr>
      <t xml:space="preserve">FATURAMENTO: </t>
    </r>
    <r>
      <rPr>
        <rFont val="Calibri"/>
        <b val="0"/>
        <color rgb="FF000000"/>
      </rPr>
      <t>N.FISCAL EMITIDAS</t>
    </r>
  </si>
  <si>
    <r>
      <rPr>
        <rFont val="Calibri"/>
        <b/>
        <color rgb="FF000000"/>
      </rPr>
      <t xml:space="preserve">RECEITAS: </t>
    </r>
    <r>
      <rPr>
        <rFont val="Calibri"/>
        <b val="0"/>
        <color rgb="FF000000"/>
      </rPr>
      <t>N,FISCAL RECEBIDAS; RENDIMENTOS BRUTO; ALUGUEIS</t>
    </r>
  </si>
  <si>
    <r>
      <rPr>
        <rFont val="Calibri"/>
        <b/>
        <color rgb="FF000000"/>
      </rPr>
      <t>RECEITAS DE INVESTIMENTOS:  (</t>
    </r>
    <r>
      <rPr>
        <rFont val="Calibri"/>
        <b val="0"/>
        <color rgb="FF000000"/>
      </rPr>
      <t>LRA2; LRA3; TRAPICHE; B.VISTA</t>
    </r>
    <r>
      <rPr>
        <rFont val="Calibri"/>
        <b/>
        <color rgb="FF000000"/>
      </rPr>
      <t>)</t>
    </r>
  </si>
  <si>
    <r>
      <rPr>
        <rFont val="Calibri"/>
        <b/>
        <color rgb="FF000000"/>
      </rPr>
      <t>RENTABILIDADES:  (</t>
    </r>
    <r>
      <rPr>
        <rFont val="Calibri"/>
        <b val="0"/>
        <color rgb="FF000000"/>
      </rPr>
      <t>RENDIMENTO BRUTO-IOF-IRRF</t>
    </r>
    <r>
      <rPr>
        <rFont val="Calibri"/>
        <b/>
        <color rgb="FF000000"/>
      </rPr>
      <t>)</t>
    </r>
  </si>
  <si>
    <r>
      <rPr>
        <rFont val="Calibri"/>
        <b/>
        <color theme="1"/>
      </rPr>
      <t xml:space="preserve">N,FISCAIS EMITIDAS </t>
    </r>
    <r>
      <rPr>
        <rFont val="Calibri"/>
        <b/>
        <color theme="1"/>
        <sz val="12.0"/>
      </rPr>
      <t>X</t>
    </r>
    <r>
      <rPr>
        <rFont val="Calibri"/>
        <b/>
        <color theme="1"/>
      </rPr>
      <t xml:space="preserve"> N.FISCAIS RECEBIDAS</t>
    </r>
  </si>
  <si>
    <t>DESPESAS</t>
  </si>
  <si>
    <t>B. VISTAS</t>
  </si>
  <si>
    <t>DEMAIS DESPESAS (Somatório de todas outras despesas)</t>
  </si>
  <si>
    <t>RECEITAS X DESPESAS X RESULTADO (RECEITA - DESPESA)</t>
  </si>
  <si>
    <r>
      <rPr>
        <rFont val="Calibri"/>
        <b/>
        <color theme="1"/>
      </rPr>
      <t xml:space="preserve">SALDOS BANCÁRIOS: </t>
    </r>
    <r>
      <rPr>
        <rFont val="Calibri"/>
        <b val="0"/>
        <color theme="1"/>
      </rPr>
      <t>Saldo de cada conta bancária conforme extrato</t>
    </r>
  </si>
  <si>
    <r>
      <rPr>
        <rFont val="Calibri"/>
        <b/>
        <color theme="1"/>
      </rPr>
      <t>RENDIMENTO PASSIVO (</t>
    </r>
    <r>
      <rPr>
        <rFont val="Calibri"/>
        <b val="0"/>
        <color theme="1"/>
      </rPr>
      <t>RENTABILIDADE  X  ALUGUEL LIQUIDO (ALUGUEL - CONDOMÍNIO</t>
    </r>
    <r>
      <rPr>
        <rFont val="Calibri"/>
        <b/>
        <color theme="1"/>
      </rPr>
      <t>))</t>
    </r>
  </si>
  <si>
    <t>SITE:</t>
  </si>
  <si>
    <t>https://www.google.com/search?sca_esv=dcd0e9e2cb7a98a2&amp;rlz=1C1AVFA_enBR913BR913&amp;sxsrf=AE3TifP6asVLRRSGJro7znR_c5wTzcnd3g:1767456239046&amp;udm=2&amp;fbs=AIIjpHydJdUtNKrM02hj0s4nbm4yAFb4PvhjIUcDtaFHkK_tyspyDJg0-Y4Ji8bGEtEDNJF_QLt8mYL1Ky-sHdgJivrE677A-6HSRV-kn1DsqyQa944C_uaVD0AMhdUnBXzg80fSIbiii8jfqnXwBRfXACVYeyxYZUMckulm8jjpJ1xtVtjWnmYX-K7DO5HJ1a5367w7yvXps0YS8PRkigVCVC1Pk-UBAA&amp;q=tipos+de+dashboard+excel&amp;sa=X&amp;ved=2ahUKEwjM_qLK3--RAxXUDbkGHZASKwgQtKgLegQIGBAB&amp;biw=1366&amp;bih=625&amp;dpr=1#sv=CAMSVhoyKhBlLTlEVG5OSUxtY0lfZ2FNMg45RFRuTklMbWNJX2dhTToOR1hnTHNQMDNCZERyTE0gBCocCgZtb3NhaWMSEGUtOURUbk5JTG1jSV9nYU0YADABGAcgyNfKjQIwAkoKCAIQAhgCIAIo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</si>
</sst>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_-;\-* #,##0.00_-;_-* &quot;-&quot;??_-;_-@"/>
    <numFmt numFmtId="165" formatCode="0000"/>
    <numFmt numFmtId="166" formatCode="######"/>
    <numFmt numFmtId="167" formatCode="#,##0.00&quot;d&quot;;#,##0.00&quot;c&quot;;#,##0.00"/>
    <numFmt numFmtId="168" formatCode="d.m"/>
  </numFmts>
  <fonts count="27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b/>
      <sz val="8.0"/>
      <color rgb="FF000000"/>
      <name val="Tahoma"/>
    </font>
    <font>
      <sz val="10.0"/>
      <color theme="1"/>
      <name val="Arial"/>
    </font>
    <font>
      <sz val="8.0"/>
      <color rgb="FF000000"/>
      <name val="Tahoma"/>
    </font>
    <font/>
    <font>
      <b/>
      <sz val="7.0"/>
      <color rgb="FF000000"/>
      <name val="Tahoma"/>
    </font>
    <font>
      <sz val="7.0"/>
      <color rgb="FF000000"/>
      <name val="Tahoma"/>
    </font>
    <font>
      <b/>
      <sz val="7.0"/>
      <color rgb="FFFF0000"/>
      <name val="Tahoma"/>
    </font>
    <font>
      <sz val="10.0"/>
      <color rgb="FFFF0000"/>
      <name val="Arial"/>
    </font>
    <font>
      <color theme="1"/>
      <name val="Calibri"/>
      <scheme val="minor"/>
    </font>
    <font>
      <b/>
      <sz val="14.0"/>
      <color theme="1"/>
      <name val="Calibri"/>
      <scheme val="minor"/>
    </font>
    <font>
      <b/>
      <color rgb="FF000000"/>
      <name val="Calibri"/>
      <scheme val="minor"/>
    </font>
    <font>
      <b/>
      <color rgb="FFF3F3F3"/>
      <name val="Calibri"/>
      <scheme val="minor"/>
    </font>
    <font>
      <b/>
      <color theme="1"/>
      <name val="Calibri"/>
      <scheme val="minor"/>
    </font>
    <font>
      <color rgb="FFF3F3F3"/>
      <name val="Calibri"/>
      <scheme val="minor"/>
    </font>
    <font>
      <b/>
      <sz val="13.0"/>
      <color theme="4"/>
      <name val="Calibri"/>
      <scheme val="minor"/>
    </font>
    <font>
      <b/>
      <sz val="13.0"/>
      <color theme="1"/>
      <name val="Calibri"/>
      <scheme val="minor"/>
    </font>
    <font>
      <b/>
      <sz val="13.0"/>
      <color rgb="FFFF0000"/>
      <name val="Calibri"/>
      <scheme val="minor"/>
    </font>
    <font>
      <color rgb="FF000000"/>
      <name val="Calibri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5" numFmtId="4" xfId="0" applyBorder="1" applyFont="1" applyNumberFormat="1"/>
    <xf borderId="0" fillId="0" fontId="1" numFmtId="0" xfId="0" applyFont="1"/>
    <xf borderId="1" fillId="5" fontId="1" numFmtId="0" xfId="0" applyBorder="1" applyFont="1"/>
    <xf borderId="1" fillId="0" fontId="1" numFmtId="0" xfId="0" applyBorder="1" applyFont="1"/>
    <xf borderId="1" fillId="0" fontId="5" numFmtId="4" xfId="0" applyAlignment="1" applyBorder="1" applyFont="1" applyNumberFormat="1">
      <alignment horizontal="center"/>
    </xf>
    <xf borderId="1" fillId="0" fontId="1" numFmtId="4" xfId="0" applyBorder="1" applyFont="1" applyNumberFormat="1"/>
    <xf borderId="1" fillId="5" fontId="1" numFmtId="164" xfId="0" applyBorder="1" applyFont="1" applyNumberForma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6" numFmtId="4" xfId="0" applyBorder="1" applyFont="1" applyNumberFormat="1"/>
    <xf borderId="1" fillId="0" fontId="7" numFmtId="0" xfId="0" applyBorder="1" applyFont="1"/>
    <xf borderId="1" fillId="5" fontId="6" numFmtId="0" xfId="0" applyBorder="1" applyFont="1"/>
    <xf borderId="0" fillId="0" fontId="6" numFmtId="0" xfId="0" applyFont="1"/>
    <xf borderId="0" fillId="0" fontId="8" numFmtId="49" xfId="0" applyAlignment="1" applyFont="1" applyNumberForma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9" numFmtId="0" xfId="0" applyFont="1"/>
    <xf borderId="0" fillId="0" fontId="10" numFmtId="49" xfId="0" applyAlignment="1" applyFont="1" applyNumberFormat="1">
      <alignment horizontal="left" shrinkToFit="0" vertical="top" wrapText="1"/>
    </xf>
    <xf borderId="0" fillId="0" fontId="10" numFmtId="165" xfId="0" applyAlignment="1" applyFont="1" applyNumberFormat="1">
      <alignment horizontal="right" vertical="top"/>
    </xf>
    <xf borderId="0" fillId="0" fontId="10" numFmtId="14" xfId="0" applyAlignment="1" applyFont="1" applyNumberFormat="1">
      <alignment horizontal="right" vertical="top"/>
    </xf>
    <xf borderId="0" fillId="0" fontId="10" numFmtId="21" xfId="0" applyAlignment="1" applyFont="1" applyNumberFormat="1">
      <alignment horizontal="right" vertical="top"/>
    </xf>
    <xf borderId="2" fillId="6" fontId="8" numFmtId="49" xfId="0" applyAlignment="1" applyBorder="1" applyFill="1" applyFont="1" applyNumberFormat="1">
      <alignment horizontal="center" shrinkToFit="0" vertical="top" wrapText="1"/>
    </xf>
    <xf borderId="3" fillId="0" fontId="11" numFmtId="0" xfId="0" applyBorder="1" applyFont="1"/>
    <xf borderId="4" fillId="0" fontId="11" numFmtId="0" xfId="0" applyBorder="1" applyFont="1"/>
    <xf borderId="0" fillId="0" fontId="8" numFmtId="49" xfId="0" applyAlignment="1" applyFont="1" applyNumberFormat="1">
      <alignment horizontal="right" shrinkToFit="0" vertical="top" wrapText="1"/>
    </xf>
    <xf borderId="0" fillId="0" fontId="12" numFmtId="166" xfId="0" applyAlignment="1" applyFont="1" applyNumberFormat="1">
      <alignment horizontal="right" vertical="top"/>
    </xf>
    <xf borderId="0" fillId="0" fontId="12" numFmtId="0" xfId="0" applyAlignment="1" applyFont="1">
      <alignment horizontal="left" shrinkToFit="0" vertical="top" wrapText="1"/>
    </xf>
    <xf borderId="0" fillId="0" fontId="12" numFmtId="167" xfId="0" applyAlignment="1" applyFont="1" applyNumberFormat="1">
      <alignment horizontal="right" vertical="top"/>
    </xf>
    <xf borderId="0" fillId="0" fontId="12" numFmtId="4" xfId="0" applyAlignment="1" applyFont="1" applyNumberFormat="1">
      <alignment horizontal="right" vertical="top"/>
    </xf>
    <xf borderId="0" fillId="0" fontId="13" numFmtId="166" xfId="0" applyAlignment="1" applyFont="1" applyNumberFormat="1">
      <alignment horizontal="right" vertical="top"/>
    </xf>
    <xf borderId="0" fillId="0" fontId="13" numFmtId="0" xfId="0" applyAlignment="1" applyFont="1">
      <alignment horizontal="left" shrinkToFit="0" vertical="top" wrapText="1"/>
    </xf>
    <xf borderId="0" fillId="0" fontId="13" numFmtId="167" xfId="0" applyAlignment="1" applyFont="1" applyNumberFormat="1">
      <alignment horizontal="right" vertical="top"/>
    </xf>
    <xf borderId="0" fillId="0" fontId="13" numFmtId="4" xfId="0" applyAlignment="1" applyFont="1" applyNumberFormat="1">
      <alignment horizontal="right" vertical="top"/>
    </xf>
    <xf borderId="0" fillId="0" fontId="14" numFmtId="166" xfId="0" applyAlignment="1" applyFont="1" applyNumberFormat="1">
      <alignment horizontal="right" vertical="top"/>
    </xf>
    <xf borderId="0" fillId="0" fontId="15" numFmtId="0" xfId="0" applyFont="1"/>
    <xf borderId="0" fillId="0" fontId="14" numFmtId="0" xfId="0" applyAlignment="1" applyFont="1">
      <alignment horizontal="left" shrinkToFit="0" vertical="top" wrapText="1"/>
    </xf>
    <xf borderId="0" fillId="0" fontId="14" numFmtId="167" xfId="0" applyAlignment="1" applyFont="1" applyNumberFormat="1">
      <alignment horizontal="right" vertical="top"/>
    </xf>
    <xf borderId="0" fillId="0" fontId="14" numFmtId="4" xfId="0" applyAlignment="1" applyFont="1" applyNumberFormat="1">
      <alignment horizontal="right" vertical="top"/>
    </xf>
    <xf borderId="0" fillId="0" fontId="8" numFmtId="49" xfId="0" applyAlignment="1" applyFont="1" applyNumberFormat="1">
      <alignment horizontal="center" shrinkToFit="0" vertical="top" wrapText="1"/>
    </xf>
    <xf borderId="0" fillId="0" fontId="13" numFmtId="49" xfId="0" applyAlignment="1" applyFont="1" applyNumberFormat="1">
      <alignment horizontal="left" shrinkToFit="0" vertical="top" wrapText="1"/>
    </xf>
    <xf borderId="2" fillId="6" fontId="13" numFmtId="49" xfId="0" applyAlignment="1" applyBorder="1" applyFont="1" applyNumberFormat="1">
      <alignment horizontal="left" shrinkToFit="0" vertical="top" wrapText="1"/>
    </xf>
    <xf borderId="0" fillId="6" fontId="16" numFmtId="0" xfId="0" applyAlignment="1" applyFont="1">
      <alignment horizontal="left"/>
    </xf>
    <xf borderId="0" fillId="6" fontId="16" numFmtId="0" xfId="0" applyFont="1"/>
    <xf borderId="0" fillId="0" fontId="17" numFmtId="0" xfId="0" applyAlignment="1" applyFont="1">
      <alignment readingOrder="0"/>
    </xf>
    <xf borderId="0" fillId="6" fontId="18" numFmtId="0" xfId="0" applyAlignment="1" applyFont="1">
      <alignment horizontal="left" readingOrder="0" vertical="center"/>
    </xf>
    <xf borderId="0" fillId="6" fontId="19" numFmtId="0" xfId="0" applyFont="1"/>
    <xf borderId="0" fillId="0" fontId="20" numFmtId="0" xfId="0" applyFont="1"/>
    <xf borderId="0" fillId="6" fontId="1" numFmtId="0" xfId="0" applyAlignment="1" applyFont="1">
      <alignment horizontal="left" readingOrder="0" vertical="center"/>
    </xf>
    <xf borderId="0" fillId="6" fontId="21" numFmtId="0" xfId="0" applyFont="1"/>
    <xf borderId="0" fillId="6" fontId="22" numFmtId="0" xfId="0" applyAlignment="1" applyFont="1">
      <alignment horizontal="left" readingOrder="0" vertical="center"/>
    </xf>
    <xf borderId="0" fillId="0" fontId="16" numFmtId="168" xfId="0" applyAlignment="1" applyFont="1" applyNumberFormat="1">
      <alignment readingOrder="0"/>
    </xf>
    <xf borderId="0" fillId="0" fontId="23" numFmtId="0" xfId="0" applyAlignment="1" applyFont="1">
      <alignment horizontal="right" readingOrder="0"/>
    </xf>
    <xf borderId="0" fillId="0" fontId="16" numFmtId="0" xfId="0" applyAlignment="1" applyFont="1">
      <alignment readingOrder="0"/>
    </xf>
    <xf borderId="0" fillId="0" fontId="20" numFmtId="0" xfId="0" applyAlignment="1" applyFont="1">
      <alignment readingOrder="0"/>
    </xf>
    <xf borderId="0" fillId="6" fontId="24" numFmtId="0" xfId="0" applyAlignment="1" applyFont="1">
      <alignment horizontal="left" readingOrder="0" vertical="center"/>
    </xf>
    <xf borderId="0" fillId="6" fontId="25" numFmtId="0" xfId="0" applyAlignment="1" applyFont="1">
      <alignment horizontal="left" readingOrder="0"/>
    </xf>
    <xf borderId="0" fillId="6" fontId="25" numFmtId="0" xfId="0" applyAlignment="1" applyFont="1">
      <alignment horizontal="left" readingOrder="0" vertical="center"/>
    </xf>
    <xf borderId="0" fillId="6" fontId="20" numFmtId="0" xfId="0" applyAlignment="1" applyFont="1">
      <alignment horizontal="left"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0</xdr:row>
      <xdr:rowOff>161925</xdr:rowOff>
    </xdr:from>
    <xdr:ext cx="5857875" cy="30194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sca_esv=dcd0e9e2cb7a98a2&amp;rlz=1C1AVFA_enBR913BR913&amp;sxsrf=AE3TifP6asVLRRSGJro7znR_c5wTzcnd3g:1767456239046&amp;udm=2&amp;fbs=AIIjpHydJdUtNKrM02hj0s4nbm4yAFb4PvhjIUcDtaFHkK_tyspyDJg0-Y4Ji8bGEtEDNJF_QLt8mYL1Ky-sHdgJivrE677A-6HSRV-kn1DsqyQa944C_uaVD0AMhdUnBXzg80fSIbiii8jfqnXwBRfXACVYeyxYZUMckulm8jjpJ1xtVtjWnmYX-K7DO5HJ1a5367w7yvXps0YS8PRkigVCVC1Pk-UBAA&amp;q=tipos+de+dashboard+excel&amp;sa=X&amp;ved=2ahUKEwjM_qLK3--RAxXUDbkGHZASKwgQtKgLegQIGBAB&amp;biw=1366&amp;bih=625&amp;dpr=1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6.57"/>
    <col customWidth="1" min="3" max="3" width="8.29"/>
    <col customWidth="1" min="4" max="4" width="17.0"/>
    <col customWidth="1" min="5" max="5" width="18.29"/>
    <col customWidth="1" min="6" max="7" width="5.57"/>
    <col customWidth="1" min="8" max="8" width="9.29"/>
    <col customWidth="1" min="9" max="9" width="11.86"/>
    <col customWidth="1" min="10" max="10" width="11.29"/>
    <col customWidth="1" min="11" max="11" width="18.14"/>
    <col customWidth="1" min="12" max="12" width="12.14"/>
    <col customWidth="1" min="13" max="13" width="11.14"/>
    <col customWidth="1" min="14" max="14" width="9.0"/>
    <col customWidth="1" min="15" max="15" width="6.43"/>
    <col customWidth="1" min="16" max="16" width="8.71"/>
    <col customWidth="1" min="17" max="17" width="11.29"/>
    <col customWidth="1" min="18" max="18" width="13.57"/>
    <col customWidth="1" min="19" max="20" width="19.43"/>
    <col customWidth="1" min="21" max="21" width="17.29"/>
    <col customWidth="1" min="22" max="33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5</v>
      </c>
      <c r="O1" s="4" t="s">
        <v>6</v>
      </c>
      <c r="P1" s="5" t="s">
        <v>7</v>
      </c>
      <c r="Q1" s="5" t="s">
        <v>8</v>
      </c>
      <c r="R1" s="5" t="s">
        <v>13</v>
      </c>
      <c r="S1" s="6" t="s">
        <v>14</v>
      </c>
      <c r="T1" s="4" t="s">
        <v>15</v>
      </c>
      <c r="U1" s="7" t="s">
        <v>16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9" t="s">
        <v>17</v>
      </c>
      <c r="B2" s="10" t="s">
        <v>18</v>
      </c>
      <c r="C2" s="10">
        <v>2026.0</v>
      </c>
      <c r="D2" s="10"/>
      <c r="E2" s="10"/>
      <c r="F2" s="11"/>
      <c r="G2" s="11"/>
      <c r="H2" s="11"/>
      <c r="I2" s="11"/>
      <c r="J2" s="11">
        <v>0.0</v>
      </c>
      <c r="K2" s="9"/>
      <c r="L2" s="12">
        <f t="shared" ref="L2:L7" si="1">D2-E2</f>
        <v>0</v>
      </c>
      <c r="M2" s="12"/>
      <c r="N2" s="9"/>
      <c r="O2" s="9"/>
      <c r="P2" s="13"/>
      <c r="Q2" s="13"/>
      <c r="R2" s="13"/>
      <c r="S2" s="13"/>
      <c r="T2" s="13"/>
      <c r="U2" s="14"/>
    </row>
    <row r="3">
      <c r="A3" s="9" t="s">
        <v>19</v>
      </c>
      <c r="B3" s="10" t="s">
        <v>18</v>
      </c>
      <c r="C3" s="10">
        <v>2026.0</v>
      </c>
      <c r="D3" s="10"/>
      <c r="E3" s="10"/>
      <c r="F3" s="11"/>
      <c r="G3" s="11"/>
      <c r="H3" s="11"/>
      <c r="I3" s="11"/>
      <c r="J3" s="11">
        <v>0.0</v>
      </c>
      <c r="K3" s="9"/>
      <c r="L3" s="12">
        <f t="shared" si="1"/>
        <v>0</v>
      </c>
      <c r="M3" s="12"/>
      <c r="N3" s="9"/>
      <c r="O3" s="9"/>
      <c r="P3" s="15"/>
      <c r="Q3" s="15"/>
      <c r="R3" s="15"/>
      <c r="S3" s="15"/>
      <c r="T3" s="15"/>
      <c r="U3" s="14"/>
    </row>
    <row r="4">
      <c r="A4" s="9" t="s">
        <v>20</v>
      </c>
      <c r="B4" s="10" t="s">
        <v>18</v>
      </c>
      <c r="C4" s="10">
        <v>2026.0</v>
      </c>
      <c r="D4" s="10"/>
      <c r="E4" s="10"/>
      <c r="F4" s="11"/>
      <c r="G4" s="11"/>
      <c r="H4" s="11"/>
      <c r="I4" s="11"/>
      <c r="J4" s="11">
        <v>0.0</v>
      </c>
      <c r="K4" s="9"/>
      <c r="L4" s="12">
        <f t="shared" si="1"/>
        <v>0</v>
      </c>
      <c r="M4" s="12"/>
      <c r="N4" s="9"/>
      <c r="O4" s="9"/>
      <c r="P4" s="15"/>
      <c r="Q4" s="15"/>
      <c r="R4" s="15"/>
      <c r="S4" s="15"/>
      <c r="T4" s="15"/>
      <c r="U4" s="14"/>
    </row>
    <row r="5">
      <c r="A5" s="9" t="s">
        <v>21</v>
      </c>
      <c r="B5" s="10" t="s">
        <v>18</v>
      </c>
      <c r="C5" s="10">
        <v>2026.0</v>
      </c>
      <c r="D5" s="10"/>
      <c r="E5" s="10"/>
      <c r="F5" s="11"/>
      <c r="G5" s="11"/>
      <c r="H5" s="11"/>
      <c r="I5" s="11"/>
      <c r="J5" s="11">
        <v>0.0</v>
      </c>
      <c r="K5" s="9"/>
      <c r="L5" s="12">
        <f t="shared" si="1"/>
        <v>0</v>
      </c>
      <c r="M5" s="12"/>
      <c r="N5" s="9"/>
      <c r="O5" s="9"/>
      <c r="P5" s="15"/>
      <c r="Q5" s="15"/>
      <c r="R5" s="15"/>
      <c r="S5" s="15"/>
      <c r="T5" s="15"/>
      <c r="U5" s="14"/>
    </row>
    <row r="6">
      <c r="A6" s="9" t="s">
        <v>22</v>
      </c>
      <c r="B6" s="10" t="s">
        <v>18</v>
      </c>
      <c r="C6" s="10">
        <v>2026.0</v>
      </c>
      <c r="D6" s="16">
        <f>Balancete!AA76</f>
        <v>114987.92</v>
      </c>
      <c r="E6" s="16">
        <f>Balancete!AA21</f>
        <v>104041.76</v>
      </c>
      <c r="F6" s="11"/>
      <c r="G6" s="11"/>
      <c r="H6" s="11"/>
      <c r="I6" s="11"/>
      <c r="J6" s="11">
        <v>0.0</v>
      </c>
      <c r="K6" s="12">
        <f>Balancete!AA79</f>
        <v>16022.72</v>
      </c>
      <c r="L6" s="12">
        <f t="shared" si="1"/>
        <v>10946.16</v>
      </c>
      <c r="M6" s="12"/>
      <c r="N6" s="9"/>
      <c r="O6" s="9"/>
      <c r="P6" s="17"/>
      <c r="Q6" s="17"/>
      <c r="R6" s="17"/>
      <c r="S6" s="12">
        <f>Balancete!W36</f>
        <v>55000</v>
      </c>
      <c r="T6" s="17">
        <f>Balancete!W59-L6-N6-O6</f>
        <v>10056.56</v>
      </c>
      <c r="U6" s="18">
        <f>Balancete!AG11</f>
        <v>2136604.36</v>
      </c>
    </row>
    <row r="7">
      <c r="A7" s="19" t="s">
        <v>23</v>
      </c>
      <c r="B7" s="20" t="s">
        <v>18</v>
      </c>
      <c r="C7" s="20">
        <v>2026.0</v>
      </c>
      <c r="D7" s="19"/>
      <c r="E7" s="19"/>
      <c r="F7" s="20"/>
      <c r="G7" s="20"/>
      <c r="H7" s="20"/>
      <c r="I7" s="20"/>
      <c r="J7" s="20"/>
      <c r="K7" s="19"/>
      <c r="L7" s="21">
        <f t="shared" si="1"/>
        <v>0</v>
      </c>
      <c r="M7" s="21"/>
      <c r="N7" s="19"/>
      <c r="O7" s="19"/>
      <c r="P7" s="22"/>
      <c r="Q7" s="22"/>
      <c r="R7" s="22"/>
      <c r="S7" s="22"/>
      <c r="T7" s="22"/>
      <c r="U7" s="23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.57"/>
    <col customWidth="1" min="3" max="3" width="1.86"/>
    <col customWidth="1" min="4" max="4" width="13.86"/>
    <col customWidth="1" min="5" max="5" width="1.86"/>
    <col customWidth="1" min="6" max="6" width="3.43"/>
    <col customWidth="1" min="7" max="7" width="6.29"/>
    <col customWidth="1" min="8" max="8" width="16.71"/>
    <col customWidth="1" min="9" max="12" width="1.86"/>
    <col customWidth="1" min="13" max="13" width="7.86"/>
    <col customWidth="1" min="14" max="14" width="8.43"/>
    <col customWidth="1" min="15" max="15" width="19.29"/>
    <col customWidth="1" min="16" max="16" width="1.14"/>
    <col customWidth="1" min="17" max="18" width="1.0"/>
    <col customWidth="1" min="19" max="19" width="2.14"/>
    <col customWidth="1" min="20" max="20" width="14.71"/>
    <col customWidth="1" min="21" max="21" width="12.14"/>
    <col customWidth="1" min="22" max="22" width="1.86"/>
    <col customWidth="1" min="23" max="23" width="5.71"/>
    <col customWidth="1" min="24" max="24" width="1.0"/>
    <col customWidth="1" min="25" max="25" width="3.0"/>
    <col customWidth="1" min="26" max="26" width="6.29"/>
    <col customWidth="1" min="27" max="27" width="7.57"/>
    <col customWidth="1" min="28" max="28" width="1.0"/>
    <col customWidth="1" min="29" max="29" width="7.43"/>
    <col customWidth="1" min="30" max="30" width="1.86"/>
    <col customWidth="1" min="31" max="31" width="3.29"/>
    <col customWidth="1" min="32" max="32" width="1.0"/>
    <col customWidth="1" min="33" max="33" width="1.29"/>
    <col customWidth="1" min="34" max="34" width="4.57"/>
    <col customWidth="1" min="35" max="35" width="3.57"/>
    <col customWidth="1" min="36" max="36" width="6.57"/>
  </cols>
  <sheetData>
    <row r="1" ht="10.5" customHeight="1">
      <c r="A1" s="25" t="s">
        <v>24</v>
      </c>
      <c r="F1" s="26" t="s">
        <v>25</v>
      </c>
      <c r="AD1" s="27"/>
      <c r="AE1" s="28" t="s">
        <v>26</v>
      </c>
      <c r="AJ1" s="29">
        <v>1.0</v>
      </c>
    </row>
    <row r="2" ht="10.5" customHeight="1">
      <c r="A2" s="28" t="s">
        <v>27</v>
      </c>
      <c r="E2" s="27"/>
      <c r="F2" s="28" t="s">
        <v>28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8" t="s">
        <v>29</v>
      </c>
      <c r="AJ2" s="29">
        <v>1.0</v>
      </c>
    </row>
    <row r="3" ht="10.5" customHeight="1">
      <c r="A3" s="28" t="s">
        <v>30</v>
      </c>
      <c r="E3" s="27"/>
      <c r="F3" s="28" t="s">
        <v>31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8" t="s">
        <v>32</v>
      </c>
      <c r="AI3" s="30">
        <v>45934.0</v>
      </c>
    </row>
    <row r="4" ht="9.7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8" t="s">
        <v>33</v>
      </c>
      <c r="AI4" s="31">
        <v>0.8832291666666666</v>
      </c>
    </row>
    <row r="5" ht="11.2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</row>
    <row r="6" ht="10.5" customHeight="1">
      <c r="A6" s="32" t="s">
        <v>34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4"/>
    </row>
    <row r="7" ht="10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ht="9.75" customHeight="1">
      <c r="A8" s="35" t="s">
        <v>35</v>
      </c>
      <c r="C8" s="27"/>
      <c r="D8" s="25" t="s">
        <v>36</v>
      </c>
      <c r="G8" s="27"/>
      <c r="H8" s="25" t="s">
        <v>37</v>
      </c>
      <c r="P8" s="35" t="s">
        <v>38</v>
      </c>
      <c r="V8" s="27"/>
      <c r="W8" s="35" t="s">
        <v>39</v>
      </c>
      <c r="AA8" s="35" t="s">
        <v>40</v>
      </c>
      <c r="AF8" s="27"/>
      <c r="AG8" s="35" t="s">
        <v>41</v>
      </c>
    </row>
    <row r="9" ht="9.75" customHeight="1">
      <c r="A9" s="36">
        <v>1.0</v>
      </c>
      <c r="C9" s="27"/>
      <c r="D9" s="37" t="s">
        <v>42</v>
      </c>
      <c r="H9" s="37" t="s">
        <v>43</v>
      </c>
      <c r="S9" s="27"/>
      <c r="T9" s="38">
        <v>2856424.83</v>
      </c>
      <c r="V9" s="27"/>
      <c r="W9" s="39">
        <v>513130.85</v>
      </c>
      <c r="AA9" s="39">
        <v>1066656.9</v>
      </c>
      <c r="AF9" s="27"/>
      <c r="AG9" s="38">
        <v>2302898.78</v>
      </c>
    </row>
    <row r="10" ht="9.75" customHeight="1">
      <c r="A10" s="36">
        <v>2.0</v>
      </c>
      <c r="C10" s="27"/>
      <c r="D10" s="37" t="s">
        <v>44</v>
      </c>
      <c r="H10" s="27"/>
      <c r="I10" s="37" t="s">
        <v>45</v>
      </c>
      <c r="S10" s="27"/>
      <c r="T10" s="38">
        <v>2856424.83</v>
      </c>
      <c r="V10" s="27"/>
      <c r="W10" s="39">
        <v>513130.85</v>
      </c>
      <c r="AA10" s="39">
        <v>1066656.9</v>
      </c>
      <c r="AF10" s="27"/>
      <c r="AG10" s="38">
        <v>2302898.78</v>
      </c>
    </row>
    <row r="11" ht="9.75" customHeight="1">
      <c r="A11" s="36">
        <v>3.0</v>
      </c>
      <c r="C11" s="27"/>
      <c r="D11" s="37" t="s">
        <v>46</v>
      </c>
      <c r="H11" s="27"/>
      <c r="I11" s="27"/>
      <c r="J11" s="37" t="s">
        <v>47</v>
      </c>
      <c r="R11" s="27"/>
      <c r="S11" s="27"/>
      <c r="T11" s="38">
        <v>2135576.57</v>
      </c>
      <c r="V11" s="27"/>
      <c r="W11" s="39">
        <v>343142.93</v>
      </c>
      <c r="AA11" s="39">
        <v>342115.14</v>
      </c>
      <c r="AF11" s="27"/>
      <c r="AG11" s="38">
        <v>2136604.36</v>
      </c>
    </row>
    <row r="12" ht="9.75" customHeight="1">
      <c r="A12" s="36">
        <v>7.0</v>
      </c>
      <c r="C12" s="27"/>
      <c r="D12" s="37" t="s">
        <v>48</v>
      </c>
      <c r="H12" s="27"/>
      <c r="I12" s="27"/>
      <c r="J12" s="27"/>
      <c r="K12" s="37" t="s">
        <v>49</v>
      </c>
      <c r="R12" s="27"/>
      <c r="S12" s="27"/>
      <c r="T12" s="38">
        <v>10260.62</v>
      </c>
      <c r="V12" s="27"/>
      <c r="W12" s="39">
        <v>223078.45</v>
      </c>
      <c r="AA12" s="39">
        <v>223078.45</v>
      </c>
      <c r="AF12" s="27"/>
      <c r="AG12" s="38">
        <v>10260.62</v>
      </c>
    </row>
    <row r="13" ht="9.75" customHeight="1">
      <c r="A13" s="40">
        <v>8.0</v>
      </c>
      <c r="C13" s="27"/>
      <c r="D13" s="41" t="s">
        <v>50</v>
      </c>
      <c r="H13" s="27"/>
      <c r="I13" s="27"/>
      <c r="J13" s="27"/>
      <c r="K13" s="27"/>
      <c r="L13" s="41" t="s">
        <v>51</v>
      </c>
      <c r="Q13" s="27"/>
      <c r="R13" s="27"/>
      <c r="S13" s="27"/>
      <c r="T13" s="42">
        <v>0.0</v>
      </c>
      <c r="V13" s="27"/>
      <c r="W13" s="43">
        <v>223078.45</v>
      </c>
      <c r="AA13" s="43">
        <v>223078.45</v>
      </c>
      <c r="AF13" s="27"/>
      <c r="AG13" s="42">
        <v>0.0</v>
      </c>
    </row>
    <row r="14" ht="9.75" customHeight="1">
      <c r="A14" s="40">
        <v>518.0</v>
      </c>
      <c r="C14" s="27"/>
      <c r="D14" s="41" t="s">
        <v>52</v>
      </c>
      <c r="H14" s="27"/>
      <c r="I14" s="27"/>
      <c r="J14" s="27"/>
      <c r="K14" s="27"/>
      <c r="L14" s="41" t="s">
        <v>53</v>
      </c>
      <c r="Q14" s="27"/>
      <c r="R14" s="27"/>
      <c r="S14" s="27"/>
      <c r="T14" s="42">
        <v>10260.62</v>
      </c>
      <c r="V14" s="27"/>
      <c r="W14" s="43">
        <v>0.0</v>
      </c>
      <c r="AA14" s="43">
        <v>0.0</v>
      </c>
      <c r="AF14" s="27"/>
      <c r="AG14" s="42">
        <v>10260.62</v>
      </c>
    </row>
    <row r="15" ht="9.75" customHeight="1">
      <c r="A15" s="36">
        <v>10.0</v>
      </c>
      <c r="C15" s="27"/>
      <c r="D15" s="37" t="s">
        <v>54</v>
      </c>
      <c r="H15" s="27"/>
      <c r="I15" s="27"/>
      <c r="J15" s="27"/>
      <c r="K15" s="37" t="s">
        <v>55</v>
      </c>
      <c r="R15" s="27"/>
      <c r="S15" s="27"/>
      <c r="T15" s="38">
        <v>2125315.95</v>
      </c>
      <c r="V15" s="27"/>
      <c r="W15" s="39">
        <v>120064.48</v>
      </c>
      <c r="AA15" s="39">
        <v>119036.69</v>
      </c>
      <c r="AF15" s="27"/>
      <c r="AG15" s="38">
        <v>2126343.74</v>
      </c>
    </row>
    <row r="16" ht="9.75" customHeight="1">
      <c r="A16" s="40">
        <v>605.0</v>
      </c>
      <c r="C16" s="27"/>
      <c r="D16" s="41" t="s">
        <v>56</v>
      </c>
      <c r="H16" s="27"/>
      <c r="I16" s="27"/>
      <c r="J16" s="27"/>
      <c r="K16" s="27"/>
      <c r="L16" s="41" t="s">
        <v>57</v>
      </c>
      <c r="Q16" s="27"/>
      <c r="R16" s="27"/>
      <c r="S16" s="27"/>
      <c r="T16" s="42">
        <v>520965.8</v>
      </c>
      <c r="V16" s="27"/>
      <c r="W16" s="43">
        <v>104471.28</v>
      </c>
      <c r="AA16" s="43">
        <v>119036.69</v>
      </c>
      <c r="AF16" s="27"/>
      <c r="AG16" s="42">
        <v>506400.39</v>
      </c>
    </row>
    <row r="17" ht="9.75" customHeight="1">
      <c r="A17" s="40">
        <v>613.0</v>
      </c>
      <c r="C17" s="27"/>
      <c r="D17" s="41" t="s">
        <v>58</v>
      </c>
      <c r="H17" s="27"/>
      <c r="I17" s="27"/>
      <c r="J17" s="27"/>
      <c r="K17" s="27"/>
      <c r="L17" s="41" t="s">
        <v>59</v>
      </c>
      <c r="Q17" s="27"/>
      <c r="R17" s="27"/>
      <c r="S17" s="27"/>
      <c r="T17" s="42">
        <v>3195.08</v>
      </c>
      <c r="V17" s="27"/>
      <c r="W17" s="43">
        <v>25.46</v>
      </c>
      <c r="AA17" s="43">
        <v>0.0</v>
      </c>
      <c r="AF17" s="27"/>
      <c r="AG17" s="42">
        <v>3220.54</v>
      </c>
    </row>
    <row r="18" ht="9.75" customHeight="1">
      <c r="A18" s="40">
        <v>621.0</v>
      </c>
      <c r="C18" s="27"/>
      <c r="D18" s="41" t="s">
        <v>60</v>
      </c>
      <c r="H18" s="27"/>
      <c r="I18" s="27"/>
      <c r="J18" s="27"/>
      <c r="K18" s="27"/>
      <c r="L18" s="41" t="s">
        <v>61</v>
      </c>
      <c r="Q18" s="27"/>
      <c r="R18" s="27"/>
      <c r="S18" s="27"/>
      <c r="T18" s="42">
        <v>1498745.95</v>
      </c>
      <c r="V18" s="27"/>
      <c r="W18" s="43">
        <v>14488.22</v>
      </c>
      <c r="AA18" s="43">
        <v>0.0</v>
      </c>
      <c r="AF18" s="27"/>
      <c r="AG18" s="42">
        <v>1513234.17</v>
      </c>
    </row>
    <row r="19" ht="9.75" customHeight="1">
      <c r="A19" s="40">
        <v>626.0</v>
      </c>
      <c r="C19" s="27"/>
      <c r="D19" s="41" t="s">
        <v>62</v>
      </c>
      <c r="H19" s="27"/>
      <c r="I19" s="27"/>
      <c r="J19" s="27"/>
      <c r="K19" s="27"/>
      <c r="L19" s="41" t="s">
        <v>63</v>
      </c>
      <c r="Q19" s="27"/>
      <c r="R19" s="27"/>
      <c r="S19" s="27"/>
      <c r="T19" s="42">
        <v>102409.12</v>
      </c>
      <c r="V19" s="27"/>
      <c r="W19" s="43">
        <v>1079.52</v>
      </c>
      <c r="AA19" s="43">
        <v>0.0</v>
      </c>
      <c r="AF19" s="27"/>
      <c r="AG19" s="42">
        <v>103488.64</v>
      </c>
    </row>
    <row r="20" ht="9.75" customHeight="1">
      <c r="A20" s="36">
        <v>12.0</v>
      </c>
      <c r="C20" s="27"/>
      <c r="D20" s="37" t="s">
        <v>64</v>
      </c>
      <c r="H20" s="27"/>
      <c r="I20" s="27"/>
      <c r="J20" s="37" t="s">
        <v>65</v>
      </c>
      <c r="R20" s="27"/>
      <c r="S20" s="27"/>
      <c r="T20" s="38">
        <v>100348.26</v>
      </c>
      <c r="V20" s="27"/>
      <c r="W20" s="39">
        <v>107916.16</v>
      </c>
      <c r="AA20" s="39">
        <v>104041.76</v>
      </c>
      <c r="AF20" s="27"/>
      <c r="AG20" s="38">
        <v>104222.66</v>
      </c>
    </row>
    <row r="21" ht="9.75" customHeight="1">
      <c r="A21" s="36">
        <v>13.0</v>
      </c>
      <c r="C21" s="27"/>
      <c r="D21" s="37" t="s">
        <v>66</v>
      </c>
      <c r="H21" s="27"/>
      <c r="I21" s="27"/>
      <c r="J21" s="27"/>
      <c r="K21" s="37" t="s">
        <v>67</v>
      </c>
      <c r="R21" s="27"/>
      <c r="S21" s="27"/>
      <c r="T21" s="38">
        <v>100348.26</v>
      </c>
      <c r="V21" s="27"/>
      <c r="W21" s="39">
        <v>107916.16</v>
      </c>
      <c r="AA21" s="39">
        <v>104041.76</v>
      </c>
      <c r="AF21" s="27"/>
      <c r="AG21" s="38">
        <v>104222.66</v>
      </c>
    </row>
    <row r="22" ht="9.75" customHeight="1">
      <c r="A22" s="40">
        <v>616.0</v>
      </c>
      <c r="C22" s="27"/>
      <c r="D22" s="41" t="s">
        <v>68</v>
      </c>
      <c r="H22" s="27"/>
      <c r="I22" s="27"/>
      <c r="J22" s="27"/>
      <c r="K22" s="27"/>
      <c r="L22" s="41" t="s">
        <v>69</v>
      </c>
      <c r="Q22" s="27"/>
      <c r="R22" s="27"/>
      <c r="S22" s="27"/>
      <c r="T22" s="42">
        <v>47588.82</v>
      </c>
      <c r="V22" s="27"/>
      <c r="W22" s="43">
        <v>72722.41</v>
      </c>
      <c r="AA22" s="43">
        <v>68848.01</v>
      </c>
      <c r="AF22" s="27"/>
      <c r="AG22" s="42">
        <v>51463.22</v>
      </c>
    </row>
    <row r="23" ht="9.75" customHeight="1">
      <c r="A23" s="40">
        <v>614.0</v>
      </c>
      <c r="C23" s="27"/>
      <c r="D23" s="41" t="s">
        <v>68</v>
      </c>
      <c r="H23" s="27"/>
      <c r="I23" s="27"/>
      <c r="J23" s="27"/>
      <c r="K23" s="27"/>
      <c r="L23" s="41" t="s">
        <v>70</v>
      </c>
      <c r="Q23" s="27"/>
      <c r="R23" s="27"/>
      <c r="S23" s="27"/>
      <c r="T23" s="42">
        <v>23482.5</v>
      </c>
      <c r="V23" s="27"/>
      <c r="W23" s="43">
        <v>0.0</v>
      </c>
      <c r="AA23" s="43">
        <v>0.0</v>
      </c>
      <c r="AF23" s="27"/>
      <c r="AG23" s="42">
        <v>23482.5</v>
      </c>
    </row>
    <row r="24" ht="9.75" customHeight="1">
      <c r="A24" s="40">
        <v>627.0</v>
      </c>
      <c r="C24" s="27"/>
      <c r="D24" s="41" t="s">
        <v>68</v>
      </c>
      <c r="H24" s="27"/>
      <c r="I24" s="27"/>
      <c r="J24" s="27"/>
      <c r="K24" s="27"/>
      <c r="L24" s="41" t="s">
        <v>71</v>
      </c>
      <c r="Q24" s="27"/>
      <c r="R24" s="27"/>
      <c r="S24" s="27"/>
      <c r="T24" s="42">
        <v>3402.64</v>
      </c>
      <c r="V24" s="27"/>
      <c r="W24" s="43">
        <v>0.0</v>
      </c>
      <c r="AA24" s="43">
        <v>0.0</v>
      </c>
      <c r="AF24" s="27"/>
      <c r="AG24" s="42">
        <v>3402.64</v>
      </c>
    </row>
    <row r="25" ht="9.75" customHeight="1">
      <c r="A25" s="40">
        <v>617.0</v>
      </c>
      <c r="C25" s="27"/>
      <c r="D25" s="41" t="s">
        <v>68</v>
      </c>
      <c r="H25" s="27"/>
      <c r="I25" s="27"/>
      <c r="J25" s="27"/>
      <c r="K25" s="27"/>
      <c r="L25" s="41" t="s">
        <v>72</v>
      </c>
      <c r="Q25" s="27"/>
      <c r="R25" s="27"/>
      <c r="S25" s="27"/>
      <c r="T25" s="42">
        <v>19134.3</v>
      </c>
      <c r="V25" s="27"/>
      <c r="W25" s="43">
        <v>0.0</v>
      </c>
      <c r="AA25" s="43">
        <v>0.0</v>
      </c>
      <c r="AF25" s="27"/>
      <c r="AG25" s="42">
        <v>19134.3</v>
      </c>
    </row>
    <row r="26" ht="9.75" customHeight="1">
      <c r="A26" s="40">
        <v>618.0</v>
      </c>
      <c r="C26" s="27"/>
      <c r="D26" s="41" t="s">
        <v>68</v>
      </c>
      <c r="H26" s="27"/>
      <c r="I26" s="27"/>
      <c r="J26" s="27"/>
      <c r="K26" s="27"/>
      <c r="L26" s="41" t="s">
        <v>73</v>
      </c>
      <c r="Q26" s="27"/>
      <c r="R26" s="27"/>
      <c r="S26" s="27"/>
      <c r="T26" s="42">
        <v>6250.0</v>
      </c>
      <c r="V26" s="27"/>
      <c r="W26" s="43">
        <v>0.0</v>
      </c>
      <c r="AA26" s="43">
        <v>0.0</v>
      </c>
      <c r="AF26" s="27"/>
      <c r="AG26" s="42">
        <v>6250.0</v>
      </c>
    </row>
    <row r="27" ht="9.75" customHeight="1">
      <c r="A27" s="40">
        <v>619.0</v>
      </c>
      <c r="C27" s="27"/>
      <c r="D27" s="41" t="s">
        <v>68</v>
      </c>
      <c r="H27" s="27"/>
      <c r="I27" s="27"/>
      <c r="J27" s="27"/>
      <c r="K27" s="27"/>
      <c r="L27" s="41" t="s">
        <v>74</v>
      </c>
      <c r="Q27" s="27"/>
      <c r="R27" s="27"/>
      <c r="S27" s="27"/>
      <c r="T27" s="42">
        <v>0.0</v>
      </c>
      <c r="V27" s="27"/>
      <c r="W27" s="43">
        <v>35193.75</v>
      </c>
      <c r="AA27" s="43">
        <v>35193.75</v>
      </c>
      <c r="AF27" s="27"/>
      <c r="AG27" s="42">
        <v>0.0</v>
      </c>
    </row>
    <row r="28" ht="9.75" customHeight="1">
      <c r="A28" s="40">
        <v>615.0</v>
      </c>
      <c r="C28" s="27"/>
      <c r="D28" s="41" t="s">
        <v>68</v>
      </c>
      <c r="H28" s="27"/>
      <c r="I28" s="27"/>
      <c r="J28" s="27"/>
      <c r="K28" s="27"/>
      <c r="L28" s="41" t="s">
        <v>75</v>
      </c>
      <c r="Q28" s="27"/>
      <c r="R28" s="27"/>
      <c r="S28" s="27"/>
      <c r="T28" s="42">
        <v>490.0</v>
      </c>
      <c r="V28" s="27"/>
      <c r="W28" s="43">
        <v>0.0</v>
      </c>
      <c r="AA28" s="43">
        <v>0.0</v>
      </c>
      <c r="AF28" s="27"/>
      <c r="AG28" s="42">
        <v>490.0</v>
      </c>
    </row>
    <row r="29" ht="9.75" customHeight="1">
      <c r="A29" s="36">
        <v>18.0</v>
      </c>
      <c r="C29" s="27"/>
      <c r="D29" s="37" t="s">
        <v>76</v>
      </c>
      <c r="H29" s="27"/>
      <c r="I29" s="27"/>
      <c r="J29" s="37" t="s">
        <v>77</v>
      </c>
      <c r="R29" s="27"/>
      <c r="S29" s="27"/>
      <c r="T29" s="38">
        <v>0.0</v>
      </c>
      <c r="V29" s="27"/>
      <c r="W29" s="39">
        <v>7071.76</v>
      </c>
      <c r="AA29" s="39">
        <v>0.0</v>
      </c>
      <c r="AF29" s="27"/>
      <c r="AG29" s="38">
        <v>7071.76</v>
      </c>
    </row>
    <row r="30" ht="9.75" customHeight="1">
      <c r="A30" s="36">
        <v>28.0</v>
      </c>
      <c r="C30" s="27"/>
      <c r="D30" s="37" t="s">
        <v>78</v>
      </c>
      <c r="H30" s="27"/>
      <c r="I30" s="27"/>
      <c r="J30" s="27"/>
      <c r="K30" s="37" t="s">
        <v>79</v>
      </c>
      <c r="R30" s="27"/>
      <c r="S30" s="27"/>
      <c r="T30" s="38">
        <v>0.0</v>
      </c>
      <c r="V30" s="27"/>
      <c r="W30" s="39">
        <v>7071.76</v>
      </c>
      <c r="AA30" s="39">
        <v>0.0</v>
      </c>
      <c r="AF30" s="27"/>
      <c r="AG30" s="38">
        <v>7071.76</v>
      </c>
    </row>
    <row r="31" ht="9.75" customHeight="1">
      <c r="A31" s="40">
        <v>31.0</v>
      </c>
      <c r="C31" s="27"/>
      <c r="D31" s="41" t="s">
        <v>80</v>
      </c>
      <c r="H31" s="27"/>
      <c r="I31" s="27"/>
      <c r="J31" s="27"/>
      <c r="K31" s="27"/>
      <c r="L31" s="41" t="s">
        <v>81</v>
      </c>
      <c r="Q31" s="27"/>
      <c r="R31" s="27"/>
      <c r="S31" s="27"/>
      <c r="T31" s="42">
        <v>0.0</v>
      </c>
      <c r="V31" s="27"/>
      <c r="W31" s="43">
        <v>1724.82</v>
      </c>
      <c r="AA31" s="43">
        <v>0.0</v>
      </c>
      <c r="AF31" s="27"/>
      <c r="AG31" s="42">
        <v>1724.82</v>
      </c>
    </row>
    <row r="32" ht="9.75" customHeight="1">
      <c r="A32" s="40">
        <v>35.0</v>
      </c>
      <c r="C32" s="27"/>
      <c r="D32" s="41" t="s">
        <v>82</v>
      </c>
      <c r="H32" s="27"/>
      <c r="I32" s="27"/>
      <c r="J32" s="27"/>
      <c r="K32" s="27"/>
      <c r="L32" s="41" t="s">
        <v>83</v>
      </c>
      <c r="Q32" s="27"/>
      <c r="R32" s="27"/>
      <c r="S32" s="27"/>
      <c r="T32" s="42">
        <v>0.0</v>
      </c>
      <c r="V32" s="27"/>
      <c r="W32" s="43">
        <v>1149.88</v>
      </c>
      <c r="AA32" s="43">
        <v>0.0</v>
      </c>
      <c r="AF32" s="27"/>
      <c r="AG32" s="42">
        <v>1149.88</v>
      </c>
    </row>
    <row r="33" ht="9.75" customHeight="1">
      <c r="A33" s="40">
        <v>36.0</v>
      </c>
      <c r="C33" s="27"/>
      <c r="D33" s="41" t="s">
        <v>84</v>
      </c>
      <c r="H33" s="27"/>
      <c r="I33" s="27"/>
      <c r="J33" s="27"/>
      <c r="K33" s="27"/>
      <c r="L33" s="41" t="s">
        <v>85</v>
      </c>
      <c r="Q33" s="27"/>
      <c r="R33" s="27"/>
      <c r="S33" s="27"/>
      <c r="T33" s="42">
        <v>0.0</v>
      </c>
      <c r="V33" s="27"/>
      <c r="W33" s="43">
        <v>3449.64</v>
      </c>
      <c r="AA33" s="43">
        <v>0.0</v>
      </c>
      <c r="AF33" s="27"/>
      <c r="AG33" s="42">
        <v>3449.64</v>
      </c>
    </row>
    <row r="34" ht="9.75" customHeight="1">
      <c r="A34" s="40">
        <v>37.0</v>
      </c>
      <c r="C34" s="27"/>
      <c r="D34" s="41" t="s">
        <v>86</v>
      </c>
      <c r="H34" s="27"/>
      <c r="I34" s="27"/>
      <c r="J34" s="27"/>
      <c r="K34" s="27"/>
      <c r="L34" s="41" t="s">
        <v>87</v>
      </c>
      <c r="Q34" s="27"/>
      <c r="R34" s="27"/>
      <c r="S34" s="27"/>
      <c r="T34" s="42">
        <v>0.0</v>
      </c>
      <c r="V34" s="27"/>
      <c r="W34" s="43">
        <v>747.42</v>
      </c>
      <c r="AA34" s="43">
        <v>0.0</v>
      </c>
      <c r="AF34" s="27"/>
      <c r="AG34" s="42">
        <v>747.42</v>
      </c>
    </row>
    <row r="35" ht="9.75" customHeight="1">
      <c r="A35" s="36">
        <v>65.0</v>
      </c>
      <c r="C35" s="27"/>
      <c r="D35" s="37" t="s">
        <v>88</v>
      </c>
      <c r="H35" s="27"/>
      <c r="I35" s="27"/>
      <c r="J35" s="37" t="s">
        <v>89</v>
      </c>
      <c r="R35" s="27"/>
      <c r="S35" s="27"/>
      <c r="T35" s="38">
        <v>620500.0</v>
      </c>
      <c r="V35" s="27"/>
      <c r="W35" s="39">
        <v>55000.0</v>
      </c>
      <c r="AA35" s="39">
        <v>620500.0</v>
      </c>
      <c r="AF35" s="27"/>
      <c r="AG35" s="38">
        <v>55000.0</v>
      </c>
    </row>
    <row r="36" ht="9.75" customHeight="1">
      <c r="A36" s="36">
        <v>66.0</v>
      </c>
      <c r="C36" s="27"/>
      <c r="D36" s="37" t="s">
        <v>90</v>
      </c>
      <c r="H36" s="27"/>
      <c r="I36" s="27"/>
      <c r="J36" s="27"/>
      <c r="K36" s="37" t="s">
        <v>91</v>
      </c>
      <c r="R36" s="27"/>
      <c r="S36" s="27"/>
      <c r="T36" s="38">
        <v>620500.0</v>
      </c>
      <c r="V36" s="27"/>
      <c r="W36" s="39">
        <v>55000.0</v>
      </c>
      <c r="AA36" s="39">
        <v>620500.0</v>
      </c>
      <c r="AF36" s="27"/>
      <c r="AG36" s="38">
        <v>55000.0</v>
      </c>
    </row>
    <row r="37" ht="9.75" customHeight="1">
      <c r="A37" s="40">
        <v>633.0</v>
      </c>
      <c r="C37" s="27"/>
      <c r="D37" s="41" t="s">
        <v>92</v>
      </c>
      <c r="H37" s="27"/>
      <c r="I37" s="27"/>
      <c r="J37" s="27"/>
      <c r="K37" s="27"/>
      <c r="L37" s="41" t="s">
        <v>93</v>
      </c>
      <c r="Q37" s="27"/>
      <c r="R37" s="27"/>
      <c r="S37" s="27"/>
      <c r="T37" s="42">
        <v>305000.0</v>
      </c>
      <c r="V37" s="27"/>
      <c r="W37" s="43">
        <v>25000.0</v>
      </c>
      <c r="AA37" s="43">
        <v>305000.0</v>
      </c>
      <c r="AF37" s="27"/>
      <c r="AG37" s="42">
        <v>25000.0</v>
      </c>
    </row>
    <row r="38" ht="9.75" customHeight="1">
      <c r="A38" s="40">
        <v>634.0</v>
      </c>
      <c r="C38" s="27"/>
      <c r="D38" s="41" t="s">
        <v>94</v>
      </c>
      <c r="H38" s="27"/>
      <c r="I38" s="27"/>
      <c r="J38" s="27"/>
      <c r="K38" s="27"/>
      <c r="L38" s="41" t="s">
        <v>95</v>
      </c>
      <c r="Q38" s="27"/>
      <c r="R38" s="27"/>
      <c r="S38" s="27"/>
      <c r="T38" s="42">
        <v>315500.0</v>
      </c>
      <c r="V38" s="27"/>
      <c r="W38" s="43">
        <v>30000.0</v>
      </c>
      <c r="AA38" s="43">
        <v>315500.0</v>
      </c>
      <c r="AF38" s="27"/>
      <c r="AG38" s="42">
        <v>30000.0</v>
      </c>
    </row>
    <row r="39" ht="9.75" customHeight="1">
      <c r="A39" s="36">
        <v>149.0</v>
      </c>
      <c r="C39" s="27"/>
      <c r="D39" s="37" t="s">
        <v>96</v>
      </c>
      <c r="H39" s="37" t="s">
        <v>97</v>
      </c>
      <c r="S39" s="27"/>
      <c r="T39" s="38">
        <v>-2856424.83</v>
      </c>
      <c r="V39" s="27"/>
      <c r="W39" s="39">
        <v>678921.91</v>
      </c>
      <c r="AA39" s="39">
        <v>15387.94</v>
      </c>
      <c r="AF39" s="27"/>
      <c r="AG39" s="38">
        <v>-2192890.86</v>
      </c>
    </row>
    <row r="40" ht="9.75" customHeight="1">
      <c r="A40" s="36">
        <v>150.0</v>
      </c>
      <c r="C40" s="27"/>
      <c r="D40" s="37" t="s">
        <v>98</v>
      </c>
      <c r="H40" s="27"/>
      <c r="I40" s="37" t="s">
        <v>99</v>
      </c>
      <c r="S40" s="27"/>
      <c r="T40" s="38">
        <v>-43033.97</v>
      </c>
      <c r="V40" s="27"/>
      <c r="W40" s="39">
        <v>43033.97</v>
      </c>
      <c r="AA40" s="39">
        <v>0.0</v>
      </c>
      <c r="AF40" s="27"/>
      <c r="AG40" s="38">
        <v>0.0</v>
      </c>
    </row>
    <row r="41" ht="9.75" customHeight="1">
      <c r="A41" s="36">
        <v>169.0</v>
      </c>
      <c r="C41" s="27"/>
      <c r="D41" s="37" t="s">
        <v>100</v>
      </c>
      <c r="H41" s="27"/>
      <c r="I41" s="27"/>
      <c r="J41" s="37" t="s">
        <v>101</v>
      </c>
      <c r="R41" s="27"/>
      <c r="S41" s="27"/>
      <c r="T41" s="38">
        <v>-43033.97</v>
      </c>
      <c r="V41" s="27"/>
      <c r="W41" s="39">
        <v>43033.97</v>
      </c>
      <c r="AA41" s="39">
        <v>0.0</v>
      </c>
      <c r="AF41" s="27"/>
      <c r="AG41" s="38">
        <v>0.0</v>
      </c>
    </row>
    <row r="42" ht="9.75" customHeight="1">
      <c r="A42" s="36">
        <v>170.0</v>
      </c>
      <c r="C42" s="27"/>
      <c r="D42" s="37" t="s">
        <v>102</v>
      </c>
      <c r="H42" s="27"/>
      <c r="I42" s="27"/>
      <c r="J42" s="27"/>
      <c r="K42" s="37" t="s">
        <v>103</v>
      </c>
      <c r="R42" s="27"/>
      <c r="S42" s="27"/>
      <c r="T42" s="38">
        <v>-43033.97</v>
      </c>
      <c r="V42" s="27"/>
      <c r="W42" s="39">
        <v>43033.97</v>
      </c>
      <c r="AA42" s="39">
        <v>0.0</v>
      </c>
      <c r="AF42" s="27"/>
      <c r="AG42" s="38">
        <v>0.0</v>
      </c>
    </row>
    <row r="43" ht="9.75" customHeight="1">
      <c r="A43" s="40">
        <v>176.0</v>
      </c>
      <c r="C43" s="27"/>
      <c r="D43" s="41" t="s">
        <v>104</v>
      </c>
      <c r="H43" s="27"/>
      <c r="I43" s="27"/>
      <c r="J43" s="27"/>
      <c r="K43" s="27"/>
      <c r="L43" s="41" t="s">
        <v>105</v>
      </c>
      <c r="Q43" s="27"/>
      <c r="R43" s="27"/>
      <c r="S43" s="27"/>
      <c r="T43" s="42">
        <v>-32033.51</v>
      </c>
      <c r="V43" s="27"/>
      <c r="W43" s="43">
        <v>32033.51</v>
      </c>
      <c r="AA43" s="43">
        <v>0.0</v>
      </c>
      <c r="AF43" s="27"/>
      <c r="AG43" s="42">
        <v>0.0</v>
      </c>
    </row>
    <row r="44" ht="9.75" customHeight="1">
      <c r="A44" s="40">
        <v>177.0</v>
      </c>
      <c r="C44" s="27"/>
      <c r="D44" s="41" t="s">
        <v>106</v>
      </c>
      <c r="H44" s="27"/>
      <c r="I44" s="27"/>
      <c r="J44" s="27"/>
      <c r="K44" s="27"/>
      <c r="L44" s="41" t="s">
        <v>107</v>
      </c>
      <c r="Q44" s="27"/>
      <c r="R44" s="27"/>
      <c r="S44" s="27"/>
      <c r="T44" s="42">
        <v>-11000.46</v>
      </c>
      <c r="V44" s="27"/>
      <c r="W44" s="43">
        <v>11000.46</v>
      </c>
      <c r="AA44" s="43">
        <v>0.0</v>
      </c>
      <c r="AF44" s="27"/>
      <c r="AG44" s="42">
        <v>0.0</v>
      </c>
    </row>
    <row r="45" ht="9.75" customHeight="1">
      <c r="A45" s="36">
        <v>503.0</v>
      </c>
      <c r="C45" s="27"/>
      <c r="D45" s="37" t="s">
        <v>108</v>
      </c>
      <c r="H45" s="27"/>
      <c r="I45" s="37" t="s">
        <v>109</v>
      </c>
      <c r="S45" s="27"/>
      <c r="T45" s="38">
        <v>0.0</v>
      </c>
      <c r="V45" s="27"/>
      <c r="W45" s="39">
        <v>83.4</v>
      </c>
      <c r="AA45" s="39">
        <v>83.4</v>
      </c>
      <c r="AF45" s="27"/>
      <c r="AG45" s="38">
        <v>0.0</v>
      </c>
    </row>
    <row r="46" ht="9.75" customHeight="1">
      <c r="A46" s="36">
        <v>217.0</v>
      </c>
      <c r="C46" s="27"/>
      <c r="D46" s="37" t="s">
        <v>110</v>
      </c>
      <c r="H46" s="27"/>
      <c r="I46" s="27"/>
      <c r="J46" s="37" t="s">
        <v>111</v>
      </c>
      <c r="R46" s="27"/>
      <c r="S46" s="27"/>
      <c r="T46" s="38">
        <v>0.0</v>
      </c>
      <c r="V46" s="27"/>
      <c r="W46" s="39">
        <v>83.4</v>
      </c>
      <c r="AA46" s="39">
        <v>83.4</v>
      </c>
      <c r="AF46" s="27"/>
      <c r="AG46" s="38">
        <v>0.0</v>
      </c>
    </row>
    <row r="47" ht="9.75" customHeight="1">
      <c r="A47" s="36">
        <v>227.0</v>
      </c>
      <c r="C47" s="27"/>
      <c r="D47" s="37" t="s">
        <v>112</v>
      </c>
      <c r="H47" s="27"/>
      <c r="I47" s="27"/>
      <c r="J47" s="27"/>
      <c r="K47" s="37" t="s">
        <v>113</v>
      </c>
      <c r="R47" s="27"/>
      <c r="S47" s="27"/>
      <c r="T47" s="38">
        <v>0.0</v>
      </c>
      <c r="V47" s="27"/>
      <c r="W47" s="39">
        <v>83.4</v>
      </c>
      <c r="AA47" s="39">
        <v>83.4</v>
      </c>
      <c r="AF47" s="27"/>
      <c r="AG47" s="38">
        <v>0.0</v>
      </c>
    </row>
    <row r="48" ht="9.75" customHeight="1">
      <c r="A48" s="36">
        <v>228.0</v>
      </c>
      <c r="C48" s="27"/>
      <c r="D48" s="37" t="s">
        <v>114</v>
      </c>
      <c r="H48" s="27"/>
      <c r="I48" s="27"/>
      <c r="J48" s="27"/>
      <c r="K48" s="27"/>
      <c r="L48" s="37" t="s">
        <v>113</v>
      </c>
      <c r="Q48" s="27"/>
      <c r="R48" s="27"/>
      <c r="S48" s="27"/>
      <c r="T48" s="38">
        <v>0.0</v>
      </c>
      <c r="V48" s="27"/>
      <c r="W48" s="39">
        <v>83.4</v>
      </c>
      <c r="AA48" s="39">
        <v>83.4</v>
      </c>
      <c r="AF48" s="27"/>
      <c r="AG48" s="38">
        <v>0.0</v>
      </c>
    </row>
    <row r="49" ht="9.75" customHeight="1">
      <c r="A49" s="40">
        <v>229.0</v>
      </c>
      <c r="C49" s="27"/>
      <c r="D49" s="41" t="s">
        <v>115</v>
      </c>
      <c r="H49" s="27"/>
      <c r="I49" s="27"/>
      <c r="J49" s="27"/>
      <c r="K49" s="27"/>
      <c r="L49" s="27"/>
      <c r="M49" s="41" t="s">
        <v>116</v>
      </c>
      <c r="Q49" s="27"/>
      <c r="R49" s="27"/>
      <c r="S49" s="27"/>
      <c r="T49" s="42">
        <v>83.4</v>
      </c>
      <c r="V49" s="27"/>
      <c r="W49" s="43">
        <v>0.0</v>
      </c>
      <c r="AA49" s="43">
        <v>83.4</v>
      </c>
      <c r="AF49" s="27"/>
      <c r="AG49" s="42">
        <v>0.0</v>
      </c>
    </row>
    <row r="50" ht="9.75" customHeight="1">
      <c r="A50" s="40">
        <v>230.0</v>
      </c>
      <c r="C50" s="27"/>
      <c r="D50" s="41" t="s">
        <v>117</v>
      </c>
      <c r="H50" s="27"/>
      <c r="I50" s="27"/>
      <c r="J50" s="27"/>
      <c r="K50" s="27"/>
      <c r="L50" s="27"/>
      <c r="M50" s="41" t="s">
        <v>118</v>
      </c>
      <c r="Q50" s="27"/>
      <c r="R50" s="27"/>
      <c r="S50" s="27"/>
      <c r="T50" s="42">
        <v>-83.4</v>
      </c>
      <c r="V50" s="27"/>
      <c r="W50" s="43">
        <v>83.4</v>
      </c>
      <c r="AA50" s="43">
        <v>0.0</v>
      </c>
      <c r="AF50" s="27"/>
      <c r="AG50" s="42">
        <v>0.0</v>
      </c>
    </row>
    <row r="51" ht="9.75" customHeight="1">
      <c r="A51" s="36">
        <v>242.0</v>
      </c>
      <c r="C51" s="27"/>
      <c r="D51" s="37" t="s">
        <v>119</v>
      </c>
      <c r="H51" s="27"/>
      <c r="I51" s="37" t="s">
        <v>120</v>
      </c>
      <c r="S51" s="27"/>
      <c r="T51" s="38">
        <v>-2813390.86</v>
      </c>
      <c r="V51" s="27"/>
      <c r="W51" s="39">
        <v>635804.54</v>
      </c>
      <c r="AA51" s="39">
        <v>15304.54</v>
      </c>
      <c r="AF51" s="27"/>
      <c r="AG51" s="38">
        <v>-2192890.86</v>
      </c>
    </row>
    <row r="52" ht="9.75" customHeight="1">
      <c r="A52" s="36">
        <v>243.0</v>
      </c>
      <c r="C52" s="27"/>
      <c r="D52" s="37" t="s">
        <v>121</v>
      </c>
      <c r="H52" s="27"/>
      <c r="I52" s="27"/>
      <c r="J52" s="37" t="s">
        <v>122</v>
      </c>
      <c r="R52" s="27"/>
      <c r="S52" s="27"/>
      <c r="T52" s="38">
        <v>-400000.0</v>
      </c>
      <c r="V52" s="27"/>
      <c r="W52" s="39">
        <v>0.0</v>
      </c>
      <c r="AA52" s="39">
        <v>0.0</v>
      </c>
      <c r="AF52" s="27"/>
      <c r="AG52" s="38">
        <v>-400000.0</v>
      </c>
    </row>
    <row r="53" ht="9.75" customHeight="1">
      <c r="A53" s="36">
        <v>244.0</v>
      </c>
      <c r="C53" s="27"/>
      <c r="D53" s="37" t="s">
        <v>123</v>
      </c>
      <c r="H53" s="27"/>
      <c r="I53" s="27"/>
      <c r="J53" s="27"/>
      <c r="K53" s="37" t="s">
        <v>124</v>
      </c>
      <c r="R53" s="27"/>
      <c r="S53" s="27"/>
      <c r="T53" s="38">
        <v>-400000.0</v>
      </c>
      <c r="V53" s="27"/>
      <c r="W53" s="39">
        <v>0.0</v>
      </c>
      <c r="AA53" s="39">
        <v>0.0</v>
      </c>
      <c r="AF53" s="27"/>
      <c r="AG53" s="38">
        <v>-400000.0</v>
      </c>
    </row>
    <row r="54" ht="9.75" customHeight="1">
      <c r="A54" s="40">
        <v>245.0</v>
      </c>
      <c r="C54" s="27"/>
      <c r="D54" s="41" t="s">
        <v>125</v>
      </c>
      <c r="H54" s="27"/>
      <c r="I54" s="27"/>
      <c r="J54" s="27"/>
      <c r="K54" s="27"/>
      <c r="L54" s="41" t="s">
        <v>122</v>
      </c>
      <c r="Q54" s="27"/>
      <c r="R54" s="27"/>
      <c r="S54" s="27"/>
      <c r="T54" s="42">
        <v>-400000.0</v>
      </c>
      <c r="V54" s="27"/>
      <c r="W54" s="43">
        <v>0.0</v>
      </c>
      <c r="AA54" s="43">
        <v>0.0</v>
      </c>
      <c r="AF54" s="27"/>
      <c r="AG54" s="42">
        <v>-400000.0</v>
      </c>
    </row>
    <row r="55" ht="9.75" customHeight="1">
      <c r="A55" s="36">
        <v>264.0</v>
      </c>
      <c r="C55" s="27"/>
      <c r="D55" s="37" t="s">
        <v>126</v>
      </c>
      <c r="H55" s="27"/>
      <c r="I55" s="27"/>
      <c r="J55" s="37" t="s">
        <v>127</v>
      </c>
      <c r="R55" s="27"/>
      <c r="S55" s="27"/>
      <c r="T55" s="38">
        <v>-2413390.86</v>
      </c>
      <c r="V55" s="27"/>
      <c r="W55" s="39">
        <v>635804.54</v>
      </c>
      <c r="AA55" s="39">
        <v>15304.54</v>
      </c>
      <c r="AF55" s="27"/>
      <c r="AG55" s="38">
        <v>-1792890.86</v>
      </c>
    </row>
    <row r="56" ht="9.75" customHeight="1">
      <c r="A56" s="36">
        <v>265.0</v>
      </c>
      <c r="C56" s="27"/>
      <c r="D56" s="37" t="s">
        <v>128</v>
      </c>
      <c r="H56" s="27"/>
      <c r="I56" s="27"/>
      <c r="J56" s="27"/>
      <c r="K56" s="37" t="s">
        <v>127</v>
      </c>
      <c r="R56" s="27"/>
      <c r="S56" s="27"/>
      <c r="T56" s="38">
        <v>-2413390.86</v>
      </c>
      <c r="V56" s="27"/>
      <c r="W56" s="39">
        <v>635804.54</v>
      </c>
      <c r="AA56" s="39">
        <v>15304.54</v>
      </c>
      <c r="AF56" s="27"/>
      <c r="AG56" s="38">
        <v>-1792890.86</v>
      </c>
    </row>
    <row r="57" ht="9.75" customHeight="1">
      <c r="A57" s="40">
        <v>266.0</v>
      </c>
      <c r="C57" s="27"/>
      <c r="D57" s="41" t="s">
        <v>129</v>
      </c>
      <c r="H57" s="27"/>
      <c r="I57" s="27"/>
      <c r="J57" s="27"/>
      <c r="K57" s="27"/>
      <c r="L57" s="41" t="s">
        <v>130</v>
      </c>
      <c r="Q57" s="27"/>
      <c r="R57" s="27"/>
      <c r="S57" s="27"/>
      <c r="T57" s="42">
        <v>-2413390.86</v>
      </c>
      <c r="V57" s="27"/>
      <c r="W57" s="43">
        <v>628152.27</v>
      </c>
      <c r="AA57" s="43">
        <v>7652.27</v>
      </c>
      <c r="AF57" s="27"/>
      <c r="AG57" s="42">
        <v>-1792890.86</v>
      </c>
    </row>
    <row r="58" ht="9.75" customHeight="1">
      <c r="A58" s="40">
        <v>267.0</v>
      </c>
      <c r="C58" s="27"/>
      <c r="D58" s="41" t="s">
        <v>131</v>
      </c>
      <c r="H58" s="27"/>
      <c r="I58" s="27"/>
      <c r="J58" s="27"/>
      <c r="K58" s="27"/>
      <c r="L58" s="41" t="s">
        <v>132</v>
      </c>
      <c r="Q58" s="27"/>
      <c r="R58" s="27"/>
      <c r="S58" s="27"/>
      <c r="T58" s="42">
        <v>0.0</v>
      </c>
      <c r="V58" s="27"/>
      <c r="W58" s="43">
        <v>7652.27</v>
      </c>
      <c r="AA58" s="43">
        <v>7652.27</v>
      </c>
      <c r="AF58" s="27"/>
      <c r="AG58" s="42">
        <v>0.0</v>
      </c>
    </row>
    <row r="59" ht="9.75" customHeight="1">
      <c r="A59" s="44">
        <v>269.0</v>
      </c>
      <c r="C59" s="45"/>
      <c r="D59" s="46" t="s">
        <v>133</v>
      </c>
      <c r="H59" s="46" t="s">
        <v>134</v>
      </c>
      <c r="S59" s="45"/>
      <c r="T59" s="47">
        <v>0.0</v>
      </c>
      <c r="V59" s="45"/>
      <c r="W59" s="48">
        <v>21002.72</v>
      </c>
      <c r="AA59" s="48">
        <v>0.0</v>
      </c>
      <c r="AF59" s="45"/>
      <c r="AG59" s="47">
        <v>21002.72</v>
      </c>
    </row>
    <row r="60" ht="9.75" customHeight="1">
      <c r="A60" s="36">
        <v>295.0</v>
      </c>
      <c r="C60" s="27"/>
      <c r="D60" s="37" t="s">
        <v>135</v>
      </c>
      <c r="H60" s="27"/>
      <c r="I60" s="37" t="s">
        <v>136</v>
      </c>
      <c r="S60" s="27"/>
      <c r="T60" s="38">
        <v>0.0</v>
      </c>
      <c r="V60" s="27"/>
      <c r="W60" s="39">
        <v>21002.72</v>
      </c>
      <c r="AA60" s="39">
        <v>0.0</v>
      </c>
      <c r="AF60" s="27"/>
      <c r="AG60" s="38">
        <v>21002.72</v>
      </c>
    </row>
    <row r="61" ht="9.75" customHeight="1">
      <c r="A61" s="36">
        <v>296.0</v>
      </c>
      <c r="C61" s="27"/>
      <c r="D61" s="37" t="s">
        <v>137</v>
      </c>
      <c r="H61" s="27"/>
      <c r="I61" s="27"/>
      <c r="J61" s="46" t="s">
        <v>138</v>
      </c>
      <c r="R61" s="27"/>
      <c r="S61" s="27"/>
      <c r="T61" s="38">
        <v>0.0</v>
      </c>
      <c r="V61" s="27"/>
      <c r="W61" s="39">
        <v>11675.0</v>
      </c>
      <c r="AA61" s="39">
        <v>0.0</v>
      </c>
      <c r="AF61" s="27"/>
      <c r="AG61" s="38">
        <v>11675.0</v>
      </c>
    </row>
    <row r="62" ht="9.75" customHeight="1">
      <c r="A62" s="36">
        <v>556.0</v>
      </c>
      <c r="C62" s="27"/>
      <c r="D62" s="37" t="s">
        <v>139</v>
      </c>
      <c r="H62" s="27"/>
      <c r="I62" s="27"/>
      <c r="J62" s="27"/>
      <c r="K62" s="37" t="s">
        <v>140</v>
      </c>
      <c r="R62" s="27"/>
      <c r="S62" s="27"/>
      <c r="T62" s="38">
        <v>0.0</v>
      </c>
      <c r="V62" s="27"/>
      <c r="W62" s="39">
        <v>11675.0</v>
      </c>
      <c r="AA62" s="39">
        <v>0.0</v>
      </c>
      <c r="AF62" s="27"/>
      <c r="AG62" s="38">
        <v>11675.0</v>
      </c>
    </row>
    <row r="63" ht="9.75" customHeight="1">
      <c r="A63" s="40">
        <v>561.0</v>
      </c>
      <c r="C63" s="27"/>
      <c r="D63" s="41" t="s">
        <v>141</v>
      </c>
      <c r="H63" s="27"/>
      <c r="I63" s="27"/>
      <c r="J63" s="27"/>
      <c r="K63" s="27"/>
      <c r="L63" s="41" t="s">
        <v>142</v>
      </c>
      <c r="Q63" s="27"/>
      <c r="R63" s="27"/>
      <c r="S63" s="27"/>
      <c r="T63" s="42">
        <v>0.0</v>
      </c>
      <c r="V63" s="27"/>
      <c r="W63" s="43">
        <v>7640.0</v>
      </c>
      <c r="AA63" s="43">
        <v>0.0</v>
      </c>
      <c r="AF63" s="27"/>
      <c r="AG63" s="42">
        <v>7640.0</v>
      </c>
    </row>
    <row r="64" ht="9.75" customHeight="1">
      <c r="A64" s="40">
        <v>567.0</v>
      </c>
      <c r="C64" s="27"/>
      <c r="D64" s="41" t="s">
        <v>143</v>
      </c>
      <c r="H64" s="27"/>
      <c r="I64" s="27"/>
      <c r="J64" s="27"/>
      <c r="K64" s="27"/>
      <c r="L64" s="41" t="s">
        <v>144</v>
      </c>
      <c r="Q64" s="27"/>
      <c r="R64" s="27"/>
      <c r="S64" s="27"/>
      <c r="T64" s="42">
        <v>0.0</v>
      </c>
      <c r="V64" s="27"/>
      <c r="W64" s="43">
        <v>2035.0</v>
      </c>
      <c r="AA64" s="43">
        <v>0.0</v>
      </c>
      <c r="AF64" s="27"/>
      <c r="AG64" s="42">
        <v>2035.0</v>
      </c>
    </row>
    <row r="65" ht="9.75" customHeight="1">
      <c r="A65" s="40">
        <v>585.0</v>
      </c>
      <c r="C65" s="27"/>
      <c r="D65" s="41" t="s">
        <v>145</v>
      </c>
      <c r="H65" s="27"/>
      <c r="I65" s="27"/>
      <c r="J65" s="27"/>
      <c r="K65" s="27"/>
      <c r="L65" s="41" t="s">
        <v>146</v>
      </c>
      <c r="Q65" s="27"/>
      <c r="R65" s="27"/>
      <c r="S65" s="27"/>
      <c r="T65" s="42">
        <v>0.0</v>
      </c>
      <c r="V65" s="27"/>
      <c r="W65" s="43">
        <v>2000.0</v>
      </c>
      <c r="AA65" s="43">
        <v>0.0</v>
      </c>
      <c r="AF65" s="27"/>
      <c r="AG65" s="42">
        <v>2000.0</v>
      </c>
    </row>
    <row r="66" ht="9.75" customHeight="1">
      <c r="A66" s="44">
        <v>329.0</v>
      </c>
      <c r="C66" s="45"/>
      <c r="D66" s="46" t="s">
        <v>147</v>
      </c>
      <c r="H66" s="45"/>
      <c r="I66" s="45"/>
      <c r="J66" s="46" t="s">
        <v>148</v>
      </c>
      <c r="R66" s="45"/>
      <c r="S66" s="45"/>
      <c r="T66" s="47">
        <v>0.0</v>
      </c>
      <c r="V66" s="45"/>
      <c r="W66" s="48">
        <v>9327.72</v>
      </c>
      <c r="AA66" s="48">
        <v>0.0</v>
      </c>
      <c r="AF66" s="45"/>
      <c r="AG66" s="47">
        <v>9327.72</v>
      </c>
    </row>
    <row r="67" ht="9.75" customHeight="1">
      <c r="A67" s="36">
        <v>345.0</v>
      </c>
      <c r="C67" s="27"/>
      <c r="D67" s="37" t="s">
        <v>149</v>
      </c>
      <c r="H67" s="27"/>
      <c r="I67" s="27"/>
      <c r="J67" s="27"/>
      <c r="K67" s="37" t="s">
        <v>150</v>
      </c>
      <c r="R67" s="27"/>
      <c r="S67" s="27"/>
      <c r="T67" s="38">
        <v>0.0</v>
      </c>
      <c r="V67" s="27"/>
      <c r="W67" s="39">
        <v>9299.72</v>
      </c>
      <c r="AA67" s="39">
        <v>0.0</v>
      </c>
      <c r="AF67" s="27"/>
      <c r="AG67" s="38">
        <v>9299.72</v>
      </c>
    </row>
    <row r="68" ht="9.75" customHeight="1">
      <c r="A68" s="40">
        <v>569.0</v>
      </c>
      <c r="C68" s="27"/>
      <c r="D68" s="41" t="s">
        <v>151</v>
      </c>
      <c r="H68" s="27"/>
      <c r="I68" s="27"/>
      <c r="J68" s="27"/>
      <c r="K68" s="27"/>
      <c r="L68" s="41" t="s">
        <v>152</v>
      </c>
      <c r="Q68" s="27"/>
      <c r="R68" s="27"/>
      <c r="S68" s="27"/>
      <c r="T68" s="42">
        <v>0.0</v>
      </c>
      <c r="V68" s="27"/>
      <c r="W68" s="43">
        <v>3477.98</v>
      </c>
      <c r="AA68" s="43">
        <v>0.0</v>
      </c>
      <c r="AF68" s="27"/>
      <c r="AG68" s="42">
        <v>3477.98</v>
      </c>
    </row>
    <row r="69" ht="9.75" customHeight="1">
      <c r="A69" s="40">
        <v>579.0</v>
      </c>
      <c r="C69" s="27"/>
      <c r="D69" s="41" t="s">
        <v>153</v>
      </c>
      <c r="H69" s="27"/>
      <c r="I69" s="27"/>
      <c r="J69" s="27"/>
      <c r="K69" s="27"/>
      <c r="L69" s="41" t="s">
        <v>154</v>
      </c>
      <c r="Q69" s="27"/>
      <c r="R69" s="27"/>
      <c r="S69" s="27"/>
      <c r="T69" s="42">
        <v>0.0</v>
      </c>
      <c r="V69" s="27"/>
      <c r="W69" s="43">
        <v>5821.74</v>
      </c>
      <c r="AA69" s="43">
        <v>0.0</v>
      </c>
      <c r="AF69" s="27"/>
      <c r="AG69" s="42">
        <v>5821.74</v>
      </c>
    </row>
    <row r="70" ht="9.75" customHeight="1">
      <c r="A70" s="36">
        <v>367.0</v>
      </c>
      <c r="C70" s="27"/>
      <c r="D70" s="37" t="s">
        <v>155</v>
      </c>
      <c r="H70" s="27"/>
      <c r="I70" s="27"/>
      <c r="J70" s="27"/>
      <c r="K70" s="37" t="s">
        <v>156</v>
      </c>
      <c r="R70" s="27"/>
      <c r="S70" s="27"/>
      <c r="T70" s="38">
        <v>0.0</v>
      </c>
      <c r="V70" s="27"/>
      <c r="W70" s="39">
        <v>28.0</v>
      </c>
      <c r="AA70" s="39">
        <v>0.0</v>
      </c>
      <c r="AF70" s="27"/>
      <c r="AG70" s="38">
        <v>28.0</v>
      </c>
    </row>
    <row r="71" ht="9.75" customHeight="1">
      <c r="A71" s="40">
        <v>640.0</v>
      </c>
      <c r="C71" s="27"/>
      <c r="D71" s="41" t="s">
        <v>157</v>
      </c>
      <c r="H71" s="27"/>
      <c r="I71" s="27"/>
      <c r="J71" s="27"/>
      <c r="K71" s="27"/>
      <c r="L71" s="41" t="s">
        <v>158</v>
      </c>
      <c r="Q71" s="27"/>
      <c r="R71" s="27"/>
      <c r="S71" s="27"/>
      <c r="T71" s="42">
        <v>0.0</v>
      </c>
      <c r="V71" s="27"/>
      <c r="W71" s="43">
        <v>28.0</v>
      </c>
      <c r="AA71" s="43">
        <v>0.0</v>
      </c>
      <c r="AF71" s="27"/>
      <c r="AG71" s="42">
        <v>28.0</v>
      </c>
    </row>
    <row r="72" ht="9.75" customHeight="1">
      <c r="A72" s="36">
        <v>402.0</v>
      </c>
      <c r="C72" s="27"/>
      <c r="D72" s="37" t="s">
        <v>159</v>
      </c>
      <c r="H72" s="37" t="s">
        <v>160</v>
      </c>
      <c r="S72" s="27"/>
      <c r="T72" s="38">
        <v>0.0</v>
      </c>
      <c r="V72" s="27"/>
      <c r="W72" s="39">
        <v>0.0</v>
      </c>
      <c r="AA72" s="39">
        <v>131010.64</v>
      </c>
      <c r="AF72" s="27"/>
      <c r="AG72" s="38">
        <v>-131010.64</v>
      </c>
    </row>
    <row r="73" ht="9.75" customHeight="1">
      <c r="A73" s="36">
        <v>403.0</v>
      </c>
      <c r="C73" s="27"/>
      <c r="D73" s="37" t="s">
        <v>161</v>
      </c>
      <c r="H73" s="27"/>
      <c r="I73" s="37" t="s">
        <v>162</v>
      </c>
      <c r="S73" s="27"/>
      <c r="T73" s="38">
        <v>0.0</v>
      </c>
      <c r="V73" s="27"/>
      <c r="W73" s="39">
        <v>0.0</v>
      </c>
      <c r="AA73" s="39">
        <v>131010.64</v>
      </c>
      <c r="AF73" s="27"/>
      <c r="AG73" s="38">
        <v>-131010.64</v>
      </c>
    </row>
    <row r="74" ht="9.75" customHeight="1">
      <c r="A74" s="36">
        <v>404.0</v>
      </c>
      <c r="C74" s="27"/>
      <c r="D74" s="37" t="s">
        <v>163</v>
      </c>
      <c r="H74" s="27"/>
      <c r="I74" s="27"/>
      <c r="J74" s="37" t="s">
        <v>164</v>
      </c>
      <c r="R74" s="27"/>
      <c r="S74" s="27"/>
      <c r="T74" s="38">
        <v>0.0</v>
      </c>
      <c r="V74" s="27"/>
      <c r="W74" s="39">
        <v>0.0</v>
      </c>
      <c r="AA74" s="39">
        <v>114987.92</v>
      </c>
      <c r="AF74" s="27"/>
      <c r="AG74" s="38">
        <v>-114987.92</v>
      </c>
    </row>
    <row r="75" ht="9.75" customHeight="1">
      <c r="A75" s="36">
        <v>410.0</v>
      </c>
      <c r="C75" s="27"/>
      <c r="D75" s="37" t="s">
        <v>165</v>
      </c>
      <c r="H75" s="27"/>
      <c r="I75" s="27"/>
      <c r="J75" s="27"/>
      <c r="K75" s="37" t="s">
        <v>166</v>
      </c>
      <c r="R75" s="27"/>
      <c r="S75" s="27"/>
      <c r="T75" s="38">
        <v>0.0</v>
      </c>
      <c r="V75" s="27"/>
      <c r="W75" s="39">
        <v>0.0</v>
      </c>
      <c r="AA75" s="39">
        <v>114987.92</v>
      </c>
      <c r="AF75" s="27"/>
      <c r="AG75" s="38">
        <v>-114987.92</v>
      </c>
    </row>
    <row r="76" ht="9.75" customHeight="1">
      <c r="A76" s="40">
        <v>411.0</v>
      </c>
      <c r="C76" s="27"/>
      <c r="D76" s="41" t="s">
        <v>167</v>
      </c>
      <c r="H76" s="27"/>
      <c r="I76" s="27"/>
      <c r="J76" s="27"/>
      <c r="K76" s="27"/>
      <c r="L76" s="41" t="s">
        <v>168</v>
      </c>
      <c r="Q76" s="27"/>
      <c r="R76" s="27"/>
      <c r="S76" s="27"/>
      <c r="T76" s="42">
        <v>0.0</v>
      </c>
      <c r="V76" s="27"/>
      <c r="W76" s="43">
        <v>0.0</v>
      </c>
      <c r="AA76" s="43">
        <v>114987.92</v>
      </c>
      <c r="AF76" s="27"/>
      <c r="AG76" s="42">
        <v>-114987.92</v>
      </c>
    </row>
    <row r="77" ht="9.75" customHeight="1">
      <c r="A77" s="36">
        <v>430.0</v>
      </c>
      <c r="C77" s="27"/>
      <c r="D77" s="37" t="s">
        <v>169</v>
      </c>
      <c r="H77" s="27"/>
      <c r="I77" s="27"/>
      <c r="J77" s="37" t="s">
        <v>170</v>
      </c>
      <c r="R77" s="27"/>
      <c r="S77" s="27"/>
      <c r="T77" s="38">
        <v>0.0</v>
      </c>
      <c r="V77" s="27"/>
      <c r="W77" s="39">
        <v>0.0</v>
      </c>
      <c r="AA77" s="39">
        <v>16022.72</v>
      </c>
      <c r="AF77" s="27"/>
      <c r="AG77" s="38">
        <v>-16022.72</v>
      </c>
    </row>
    <row r="78" ht="9.75" customHeight="1">
      <c r="A78" s="36">
        <v>641.0</v>
      </c>
      <c r="C78" s="27"/>
      <c r="D78" s="37" t="s">
        <v>171</v>
      </c>
      <c r="H78" s="27"/>
      <c r="I78" s="27"/>
      <c r="J78" s="27"/>
      <c r="K78" s="37" t="s">
        <v>172</v>
      </c>
      <c r="R78" s="27"/>
      <c r="S78" s="27"/>
      <c r="T78" s="38">
        <v>0.0</v>
      </c>
      <c r="V78" s="27"/>
      <c r="W78" s="39">
        <v>0.0</v>
      </c>
      <c r="AA78" s="39">
        <v>16022.72</v>
      </c>
      <c r="AF78" s="27"/>
      <c r="AG78" s="38">
        <v>-16022.72</v>
      </c>
    </row>
    <row r="79" ht="9.75" customHeight="1">
      <c r="A79" s="40">
        <v>642.0</v>
      </c>
      <c r="C79" s="27"/>
      <c r="D79" s="41" t="s">
        <v>173</v>
      </c>
      <c r="H79" s="27"/>
      <c r="I79" s="27"/>
      <c r="J79" s="27"/>
      <c r="K79" s="27"/>
      <c r="L79" s="41" t="s">
        <v>172</v>
      </c>
      <c r="Q79" s="27"/>
      <c r="R79" s="27"/>
      <c r="S79" s="27"/>
      <c r="T79" s="42">
        <v>0.0</v>
      </c>
      <c r="V79" s="27"/>
      <c r="W79" s="43">
        <v>0.0</v>
      </c>
      <c r="AA79" s="43">
        <v>16022.72</v>
      </c>
      <c r="AF79" s="27"/>
      <c r="AG79" s="42">
        <v>-16022.72</v>
      </c>
    </row>
    <row r="80" ht="9.75" customHeight="1">
      <c r="A80" s="49" t="s">
        <v>174</v>
      </c>
      <c r="AD80" s="27"/>
      <c r="AE80" s="27"/>
      <c r="AF80" s="27"/>
      <c r="AG80" s="27"/>
      <c r="AH80" s="27"/>
      <c r="AI80" s="27"/>
      <c r="AJ80" s="27"/>
    </row>
    <row r="81" ht="11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</row>
    <row r="82" ht="10.5" customHeight="1">
      <c r="A82" s="27"/>
      <c r="B82" s="50" t="s">
        <v>43</v>
      </c>
      <c r="N82" s="27"/>
      <c r="O82" s="27"/>
      <c r="P82" s="27"/>
      <c r="Q82" s="27"/>
      <c r="R82" s="27"/>
      <c r="S82" s="27"/>
      <c r="T82" s="27"/>
      <c r="U82" s="42">
        <v>2856424.83</v>
      </c>
      <c r="X82" s="27"/>
      <c r="Y82" s="43">
        <v>513130.85</v>
      </c>
      <c r="AB82" s="27"/>
      <c r="AC82" s="43">
        <v>1066656.9</v>
      </c>
      <c r="AG82" s="27"/>
      <c r="AH82" s="42">
        <v>2302898.78</v>
      </c>
    </row>
    <row r="83" ht="11.25" customHeight="1">
      <c r="A83" s="27"/>
      <c r="B83" s="50" t="s">
        <v>97</v>
      </c>
      <c r="N83" s="27"/>
      <c r="O83" s="27"/>
      <c r="P83" s="27"/>
      <c r="Q83" s="27"/>
      <c r="R83" s="27"/>
      <c r="S83" s="27"/>
      <c r="T83" s="27"/>
      <c r="U83" s="42">
        <v>-2856424.83</v>
      </c>
      <c r="X83" s="27"/>
      <c r="Y83" s="43">
        <v>678921.91</v>
      </c>
      <c r="AB83" s="27"/>
      <c r="AC83" s="43">
        <v>15387.94</v>
      </c>
      <c r="AG83" s="27"/>
      <c r="AH83" s="42">
        <v>-2192890.86</v>
      </c>
    </row>
    <row r="84" ht="11.25" customHeight="1">
      <c r="A84" s="27"/>
      <c r="B84" s="50" t="s">
        <v>134</v>
      </c>
      <c r="N84" s="27"/>
      <c r="O84" s="27"/>
      <c r="P84" s="27"/>
      <c r="Q84" s="27"/>
      <c r="R84" s="27"/>
      <c r="S84" s="27"/>
      <c r="T84" s="27"/>
      <c r="U84" s="42">
        <v>0.0</v>
      </c>
      <c r="X84" s="27"/>
      <c r="Y84" s="43">
        <v>21002.72</v>
      </c>
      <c r="AB84" s="27"/>
      <c r="AC84" s="43">
        <v>0.0</v>
      </c>
      <c r="AG84" s="27"/>
      <c r="AH84" s="42">
        <v>21002.72</v>
      </c>
    </row>
    <row r="85" ht="11.25" customHeight="1">
      <c r="A85" s="27"/>
      <c r="B85" s="50" t="s">
        <v>160</v>
      </c>
      <c r="N85" s="27"/>
      <c r="O85" s="27"/>
      <c r="P85" s="27"/>
      <c r="Q85" s="27"/>
      <c r="R85" s="27"/>
      <c r="S85" s="27"/>
      <c r="T85" s="27"/>
      <c r="U85" s="42">
        <v>0.0</v>
      </c>
      <c r="X85" s="27"/>
      <c r="Y85" s="43">
        <v>0.0</v>
      </c>
      <c r="AB85" s="27"/>
      <c r="AC85" s="43">
        <v>131010.64</v>
      </c>
      <c r="AG85" s="27"/>
      <c r="AH85" s="42">
        <v>-131010.64</v>
      </c>
    </row>
    <row r="86" ht="11.25" customHeight="1">
      <c r="A86" s="27"/>
      <c r="B86" s="50" t="s">
        <v>120</v>
      </c>
      <c r="N86" s="27"/>
      <c r="O86" s="27"/>
      <c r="P86" s="27"/>
      <c r="Q86" s="27"/>
      <c r="R86" s="27"/>
      <c r="S86" s="27"/>
      <c r="T86" s="27"/>
      <c r="U86" s="42">
        <v>-2813390.86</v>
      </c>
      <c r="X86" s="27"/>
      <c r="Y86" s="43">
        <v>635804.54</v>
      </c>
      <c r="AB86" s="27"/>
      <c r="AC86" s="43">
        <v>15304.54</v>
      </c>
      <c r="AG86" s="27"/>
      <c r="AH86" s="42">
        <v>-2192890.86</v>
      </c>
    </row>
    <row r="87" ht="11.25" customHeight="1">
      <c r="A87" s="27"/>
      <c r="B87" s="50" t="s">
        <v>175</v>
      </c>
      <c r="N87" s="27"/>
      <c r="O87" s="27"/>
      <c r="P87" s="27"/>
      <c r="Q87" s="27"/>
      <c r="R87" s="27"/>
      <c r="S87" s="27"/>
      <c r="T87" s="27"/>
      <c r="U87" s="42">
        <v>0.0</v>
      </c>
      <c r="X87" s="27"/>
      <c r="Y87" s="43">
        <v>0.0</v>
      </c>
      <c r="AB87" s="27"/>
      <c r="AC87" s="43">
        <v>0.0</v>
      </c>
      <c r="AG87" s="27"/>
      <c r="AH87" s="42">
        <v>0.0</v>
      </c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</row>
    <row r="89" ht="10.5" customHeight="1">
      <c r="A89" s="27"/>
      <c r="B89" s="50" t="s">
        <v>176</v>
      </c>
      <c r="N89" s="27"/>
      <c r="O89" s="27"/>
      <c r="P89" s="27"/>
      <c r="Q89" s="27"/>
      <c r="R89" s="27"/>
      <c r="S89" s="27"/>
      <c r="T89" s="27"/>
      <c r="U89" s="42">
        <v>2856424.83</v>
      </c>
      <c r="X89" s="27"/>
      <c r="Y89" s="43">
        <v>534133.57</v>
      </c>
      <c r="AB89" s="27"/>
      <c r="AC89" s="43">
        <v>1066656.9</v>
      </c>
      <c r="AG89" s="27"/>
      <c r="AH89" s="42">
        <v>2323901.5</v>
      </c>
    </row>
    <row r="90" ht="11.25" customHeight="1">
      <c r="A90" s="27"/>
      <c r="B90" s="50" t="s">
        <v>177</v>
      </c>
      <c r="N90" s="27"/>
      <c r="O90" s="27"/>
      <c r="P90" s="27"/>
      <c r="Q90" s="27"/>
      <c r="R90" s="27"/>
      <c r="S90" s="27"/>
      <c r="T90" s="27"/>
      <c r="U90" s="42">
        <v>-5669815.6899999995</v>
      </c>
      <c r="X90" s="27"/>
      <c r="Y90" s="43">
        <v>1314726.4500000002</v>
      </c>
      <c r="AB90" s="27"/>
      <c r="AC90" s="43">
        <v>161703.12</v>
      </c>
      <c r="AG90" s="27"/>
      <c r="AH90" s="42">
        <v>-4516792.359999999</v>
      </c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</row>
    <row r="92" ht="10.5" customHeight="1">
      <c r="A92" s="27"/>
      <c r="B92" s="50" t="s">
        <v>178</v>
      </c>
      <c r="N92" s="27"/>
      <c r="O92" s="27"/>
      <c r="P92" s="27"/>
      <c r="Q92" s="27"/>
      <c r="R92" s="27"/>
      <c r="S92" s="27"/>
      <c r="T92" s="27"/>
      <c r="U92" s="42">
        <v>0.0</v>
      </c>
      <c r="X92" s="27"/>
      <c r="Y92" s="43">
        <v>21002.72</v>
      </c>
      <c r="AB92" s="27"/>
      <c r="AC92" s="43">
        <v>131010.64</v>
      </c>
      <c r="AG92" s="27"/>
      <c r="AH92" s="42">
        <v>-110007.92</v>
      </c>
    </row>
    <row r="93" ht="11.25" customHeight="1">
      <c r="A93" s="27"/>
      <c r="B93" s="50" t="s">
        <v>179</v>
      </c>
      <c r="N93" s="27"/>
      <c r="O93" s="27"/>
      <c r="P93" s="27"/>
      <c r="Q93" s="27"/>
      <c r="R93" s="27"/>
      <c r="S93" s="27"/>
      <c r="T93" s="27"/>
      <c r="U93" s="42">
        <v>0.0</v>
      </c>
      <c r="X93" s="27"/>
      <c r="Y93" s="43">
        <v>21002.72</v>
      </c>
      <c r="AB93" s="27"/>
      <c r="AC93" s="43">
        <v>131010.64</v>
      </c>
      <c r="AG93" s="27"/>
      <c r="AH93" s="42">
        <v>-110007.92</v>
      </c>
    </row>
    <row r="94" ht="12.0" customHeight="1">
      <c r="A94" s="51" t="s">
        <v>180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4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</row>
    <row r="979" ht="12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</row>
    <row r="980" ht="12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</row>
    <row r="981" ht="12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</row>
    <row r="982" ht="12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</row>
    <row r="983" ht="12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</row>
    <row r="984" ht="12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</row>
    <row r="985" ht="12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</row>
    <row r="986" ht="12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</row>
    <row r="987" ht="12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</row>
    <row r="988" ht="12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</row>
    <row r="989" ht="12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</row>
    <row r="990" ht="12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</row>
    <row r="991" ht="12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</row>
    <row r="992" ht="12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</row>
    <row r="993" ht="12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</row>
    <row r="994" ht="12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</row>
    <row r="995" ht="12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</row>
    <row r="996" ht="12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</row>
    <row r="997" ht="12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</row>
    <row r="998" ht="12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</row>
    <row r="999" ht="12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</row>
    <row r="1000" ht="12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</row>
  </sheetData>
  <mergeCells count="569">
    <mergeCell ref="T17:U17"/>
    <mergeCell ref="T18:U18"/>
    <mergeCell ref="L19:P19"/>
    <mergeCell ref="T19:U19"/>
    <mergeCell ref="J20:Q20"/>
    <mergeCell ref="T20:U20"/>
    <mergeCell ref="T21:U21"/>
    <mergeCell ref="K21:Q21"/>
    <mergeCell ref="L22:P22"/>
    <mergeCell ref="T22:U22"/>
    <mergeCell ref="L23:P23"/>
    <mergeCell ref="T23:U23"/>
    <mergeCell ref="L24:P24"/>
    <mergeCell ref="L25:P25"/>
    <mergeCell ref="D15:G15"/>
    <mergeCell ref="D16:G16"/>
    <mergeCell ref="L16:P16"/>
    <mergeCell ref="AA16:AE16"/>
    <mergeCell ref="L17:P17"/>
    <mergeCell ref="AA17:AE17"/>
    <mergeCell ref="L18:P18"/>
    <mergeCell ref="AG20:AJ20"/>
    <mergeCell ref="AG21:AJ21"/>
    <mergeCell ref="AA22:AE22"/>
    <mergeCell ref="AG22:AJ22"/>
    <mergeCell ref="AA23:AE23"/>
    <mergeCell ref="AG23:AJ23"/>
    <mergeCell ref="AA24:AE24"/>
    <mergeCell ref="AG24:AJ24"/>
    <mergeCell ref="AA25:AE25"/>
    <mergeCell ref="AG25:AJ25"/>
    <mergeCell ref="W18:Z18"/>
    <mergeCell ref="AA18:AE18"/>
    <mergeCell ref="AG18:AJ18"/>
    <mergeCell ref="AA19:AE19"/>
    <mergeCell ref="AG19:AJ19"/>
    <mergeCell ref="AA20:AE20"/>
    <mergeCell ref="AA21:AE21"/>
    <mergeCell ref="T24:U24"/>
    <mergeCell ref="T25:U25"/>
    <mergeCell ref="L26:P26"/>
    <mergeCell ref="T26:U26"/>
    <mergeCell ref="W26:Z26"/>
    <mergeCell ref="AA26:AE26"/>
    <mergeCell ref="AG26:AJ26"/>
    <mergeCell ref="AG29:AJ29"/>
    <mergeCell ref="AG30:AJ30"/>
    <mergeCell ref="W33:Z33"/>
    <mergeCell ref="AA33:AE33"/>
    <mergeCell ref="W34:Z34"/>
    <mergeCell ref="AA34:AE34"/>
    <mergeCell ref="AG34:AJ34"/>
    <mergeCell ref="AA35:AE35"/>
    <mergeCell ref="AG35:AJ35"/>
    <mergeCell ref="W35:Z35"/>
    <mergeCell ref="W36:Z36"/>
    <mergeCell ref="AA36:AE36"/>
    <mergeCell ref="AG36:AJ36"/>
    <mergeCell ref="W37:Z37"/>
    <mergeCell ref="AA37:AE37"/>
    <mergeCell ref="AG37:AJ37"/>
    <mergeCell ref="W29:Z29"/>
    <mergeCell ref="W30:Z30"/>
    <mergeCell ref="W31:Z31"/>
    <mergeCell ref="AA31:AE31"/>
    <mergeCell ref="AG31:AJ31"/>
    <mergeCell ref="L28:P28"/>
    <mergeCell ref="J29:Q29"/>
    <mergeCell ref="T29:U29"/>
    <mergeCell ref="AA29:AE29"/>
    <mergeCell ref="K30:Q30"/>
    <mergeCell ref="AA30:AE30"/>
    <mergeCell ref="L31:P31"/>
    <mergeCell ref="L32:P32"/>
    <mergeCell ref="T32:U32"/>
    <mergeCell ref="W32:Z32"/>
    <mergeCell ref="AA32:AE32"/>
    <mergeCell ref="AG32:AJ32"/>
    <mergeCell ref="T33:U33"/>
    <mergeCell ref="AG33:AJ33"/>
    <mergeCell ref="W38:Z38"/>
    <mergeCell ref="AA38:AE38"/>
    <mergeCell ref="AG38:AJ38"/>
    <mergeCell ref="W39:Z39"/>
    <mergeCell ref="AA39:AE39"/>
    <mergeCell ref="AG39:AJ39"/>
    <mergeCell ref="T39:U39"/>
    <mergeCell ref="T40:U40"/>
    <mergeCell ref="W40:Z40"/>
    <mergeCell ref="AA40:AE40"/>
    <mergeCell ref="AG40:AJ40"/>
    <mergeCell ref="T30:U30"/>
    <mergeCell ref="T31:U31"/>
    <mergeCell ref="T34:U34"/>
    <mergeCell ref="T35:U35"/>
    <mergeCell ref="T36:U36"/>
    <mergeCell ref="T37:U37"/>
    <mergeCell ref="T38:U38"/>
    <mergeCell ref="L44:P44"/>
    <mergeCell ref="T44:U44"/>
    <mergeCell ref="W44:Z44"/>
    <mergeCell ref="AA44:AE44"/>
    <mergeCell ref="T45:U45"/>
    <mergeCell ref="W45:Z45"/>
    <mergeCell ref="AA45:AE45"/>
    <mergeCell ref="I45:R45"/>
    <mergeCell ref="J46:Q46"/>
    <mergeCell ref="T46:U46"/>
    <mergeCell ref="W46:Z46"/>
    <mergeCell ref="AA46:AE46"/>
    <mergeCell ref="K47:Q47"/>
    <mergeCell ref="T47:U47"/>
    <mergeCell ref="L33:P33"/>
    <mergeCell ref="L34:P34"/>
    <mergeCell ref="J35:Q35"/>
    <mergeCell ref="K36:Q36"/>
    <mergeCell ref="L37:P37"/>
    <mergeCell ref="L38:P38"/>
    <mergeCell ref="H39:R39"/>
    <mergeCell ref="W41:Z41"/>
    <mergeCell ref="W42:Z42"/>
    <mergeCell ref="AG41:AJ41"/>
    <mergeCell ref="AG42:AJ42"/>
    <mergeCell ref="AG43:AJ43"/>
    <mergeCell ref="AG44:AJ44"/>
    <mergeCell ref="AG45:AJ45"/>
    <mergeCell ref="AG46:AJ46"/>
    <mergeCell ref="AG47:AJ47"/>
    <mergeCell ref="T42:U42"/>
    <mergeCell ref="T43:U43"/>
    <mergeCell ref="W43:Z43"/>
    <mergeCell ref="AA43:AE43"/>
    <mergeCell ref="I40:R40"/>
    <mergeCell ref="J41:Q41"/>
    <mergeCell ref="T41:U41"/>
    <mergeCell ref="AA41:AE41"/>
    <mergeCell ref="K42:Q42"/>
    <mergeCell ref="AA42:AE42"/>
    <mergeCell ref="L43:P43"/>
    <mergeCell ref="W47:Z47"/>
    <mergeCell ref="AA47:AE47"/>
    <mergeCell ref="D48:G48"/>
    <mergeCell ref="D49:G49"/>
    <mergeCell ref="A50:B50"/>
    <mergeCell ref="D50:G50"/>
    <mergeCell ref="A51:B51"/>
    <mergeCell ref="D51:G51"/>
    <mergeCell ref="A52:B52"/>
    <mergeCell ref="D52:G52"/>
    <mergeCell ref="A53:B53"/>
    <mergeCell ref="D53:G53"/>
    <mergeCell ref="D42:G42"/>
    <mergeCell ref="D43:G43"/>
    <mergeCell ref="D44:G44"/>
    <mergeCell ref="D45:G45"/>
    <mergeCell ref="D46:G46"/>
    <mergeCell ref="D47:G47"/>
    <mergeCell ref="A49:B49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W48:Z48"/>
    <mergeCell ref="W49:Z49"/>
    <mergeCell ref="W53:Z53"/>
    <mergeCell ref="AG48:AJ48"/>
    <mergeCell ref="AG49:AJ49"/>
    <mergeCell ref="AG50:AJ50"/>
    <mergeCell ref="AG51:AJ51"/>
    <mergeCell ref="AG52:AJ52"/>
    <mergeCell ref="AG53:AJ53"/>
    <mergeCell ref="T49:U49"/>
    <mergeCell ref="T50:U50"/>
    <mergeCell ref="T53:U53"/>
    <mergeCell ref="W50:Z50"/>
    <mergeCell ref="AA50:AE50"/>
    <mergeCell ref="AA53:AE53"/>
    <mergeCell ref="A48:B48"/>
    <mergeCell ref="L48:P48"/>
    <mergeCell ref="T48:U48"/>
    <mergeCell ref="AA48:AE48"/>
    <mergeCell ref="M49:P49"/>
    <mergeCell ref="AA49:AE49"/>
    <mergeCell ref="M50:P50"/>
    <mergeCell ref="T54:U54"/>
    <mergeCell ref="T55:U55"/>
    <mergeCell ref="T56:U56"/>
    <mergeCell ref="W56:Z56"/>
    <mergeCell ref="T57:U57"/>
    <mergeCell ref="W57:Z57"/>
    <mergeCell ref="W58:Z58"/>
    <mergeCell ref="AG58:AJ58"/>
    <mergeCell ref="AG59:AJ59"/>
    <mergeCell ref="AG60:AJ60"/>
    <mergeCell ref="AG61:AJ61"/>
    <mergeCell ref="AG62:AJ62"/>
    <mergeCell ref="AA54:AE54"/>
    <mergeCell ref="AG54:AJ54"/>
    <mergeCell ref="AA55:AE55"/>
    <mergeCell ref="AG55:AJ55"/>
    <mergeCell ref="AA56:AE56"/>
    <mergeCell ref="AG56:AJ56"/>
    <mergeCell ref="AG57:AJ57"/>
    <mergeCell ref="I51:R51"/>
    <mergeCell ref="T51:U51"/>
    <mergeCell ref="W51:Z51"/>
    <mergeCell ref="AA51:AE51"/>
    <mergeCell ref="T52:U52"/>
    <mergeCell ref="W52:Z52"/>
    <mergeCell ref="AA52:AE52"/>
    <mergeCell ref="J55:Q55"/>
    <mergeCell ref="K56:Q56"/>
    <mergeCell ref="L57:P57"/>
    <mergeCell ref="L58:P58"/>
    <mergeCell ref="H59:R59"/>
    <mergeCell ref="I60:R60"/>
    <mergeCell ref="J61:Q61"/>
    <mergeCell ref="K62:Q62"/>
    <mergeCell ref="J52:Q52"/>
    <mergeCell ref="K53:Q53"/>
    <mergeCell ref="A54:B54"/>
    <mergeCell ref="L54:P54"/>
    <mergeCell ref="W54:Z54"/>
    <mergeCell ref="A55:B55"/>
    <mergeCell ref="W55:Z55"/>
    <mergeCell ref="AA57:AE57"/>
    <mergeCell ref="AA58:AE58"/>
    <mergeCell ref="AA59:AE59"/>
    <mergeCell ref="AA60:AE60"/>
    <mergeCell ref="AA61:AE61"/>
    <mergeCell ref="AA62:AE62"/>
    <mergeCell ref="A58:B58"/>
    <mergeCell ref="A59:B59"/>
    <mergeCell ref="A60:B60"/>
    <mergeCell ref="A61:B61"/>
    <mergeCell ref="A62:B62"/>
    <mergeCell ref="D59:G59"/>
    <mergeCell ref="D60:G60"/>
    <mergeCell ref="D61:G61"/>
    <mergeCell ref="D62:G62"/>
    <mergeCell ref="D54:G54"/>
    <mergeCell ref="D55:G55"/>
    <mergeCell ref="A56:B56"/>
    <mergeCell ref="D56:G56"/>
    <mergeCell ref="A57:B57"/>
    <mergeCell ref="D57:G57"/>
    <mergeCell ref="D58:G58"/>
    <mergeCell ref="T63:U63"/>
    <mergeCell ref="T64:U64"/>
    <mergeCell ref="T65:U65"/>
    <mergeCell ref="W65:Z65"/>
    <mergeCell ref="T66:U66"/>
    <mergeCell ref="W66:Z66"/>
    <mergeCell ref="W67:Z67"/>
    <mergeCell ref="AG67:AJ67"/>
    <mergeCell ref="AG68:AJ68"/>
    <mergeCell ref="AG69:AJ69"/>
    <mergeCell ref="AG70:AJ70"/>
    <mergeCell ref="AG71:AJ71"/>
    <mergeCell ref="AA63:AE63"/>
    <mergeCell ref="AG63:AJ63"/>
    <mergeCell ref="AA64:AE64"/>
    <mergeCell ref="AG64:AJ64"/>
    <mergeCell ref="AA65:AE65"/>
    <mergeCell ref="AG65:AJ65"/>
    <mergeCell ref="AG66:AJ66"/>
    <mergeCell ref="T58:U58"/>
    <mergeCell ref="T59:U59"/>
    <mergeCell ref="W59:Z59"/>
    <mergeCell ref="T60:U60"/>
    <mergeCell ref="W60:Z60"/>
    <mergeCell ref="T61:U61"/>
    <mergeCell ref="T62:U62"/>
    <mergeCell ref="L64:P64"/>
    <mergeCell ref="L65:P65"/>
    <mergeCell ref="J66:Q66"/>
    <mergeCell ref="K67:Q67"/>
    <mergeCell ref="L68:P68"/>
    <mergeCell ref="L69:P69"/>
    <mergeCell ref="K70:Q70"/>
    <mergeCell ref="L71:P71"/>
    <mergeCell ref="W61:Z61"/>
    <mergeCell ref="W62:Z62"/>
    <mergeCell ref="A63:B63"/>
    <mergeCell ref="L63:P63"/>
    <mergeCell ref="W63:Z63"/>
    <mergeCell ref="A64:B64"/>
    <mergeCell ref="W64:Z64"/>
    <mergeCell ref="AA66:AE66"/>
    <mergeCell ref="AA67:AE67"/>
    <mergeCell ref="AA68:AE68"/>
    <mergeCell ref="AA69:AE69"/>
    <mergeCell ref="AA70:AE70"/>
    <mergeCell ref="AA71:AE71"/>
    <mergeCell ref="A67:B67"/>
    <mergeCell ref="A68:B68"/>
    <mergeCell ref="A69:B69"/>
    <mergeCell ref="A70:B70"/>
    <mergeCell ref="A71:B71"/>
    <mergeCell ref="D68:G68"/>
    <mergeCell ref="D69:G69"/>
    <mergeCell ref="D70:G70"/>
    <mergeCell ref="D71:G71"/>
    <mergeCell ref="D63:G63"/>
    <mergeCell ref="D64:G64"/>
    <mergeCell ref="A65:B65"/>
    <mergeCell ref="D65:G65"/>
    <mergeCell ref="A66:B66"/>
    <mergeCell ref="D66:G66"/>
    <mergeCell ref="D67:G67"/>
    <mergeCell ref="T76:U76"/>
    <mergeCell ref="T77:U77"/>
    <mergeCell ref="W77:Z77"/>
    <mergeCell ref="T78:U78"/>
    <mergeCell ref="W78:Z78"/>
    <mergeCell ref="T79:U79"/>
    <mergeCell ref="W79:Z79"/>
    <mergeCell ref="D77:G77"/>
    <mergeCell ref="D78:G78"/>
    <mergeCell ref="D79:G79"/>
    <mergeCell ref="A80:AC80"/>
    <mergeCell ref="U82:W82"/>
    <mergeCell ref="Y82:AA82"/>
    <mergeCell ref="AC82:AF82"/>
    <mergeCell ref="B85:M85"/>
    <mergeCell ref="B86:M86"/>
    <mergeCell ref="B87:M87"/>
    <mergeCell ref="B89:M89"/>
    <mergeCell ref="B90:M90"/>
    <mergeCell ref="B92:M92"/>
    <mergeCell ref="B93:M93"/>
    <mergeCell ref="B82:M82"/>
    <mergeCell ref="B83:M83"/>
    <mergeCell ref="U83:W83"/>
    <mergeCell ref="Y83:AA83"/>
    <mergeCell ref="B84:M84"/>
    <mergeCell ref="Y84:AA84"/>
    <mergeCell ref="Y85:AA85"/>
    <mergeCell ref="AC86:AF86"/>
    <mergeCell ref="AC87:AF87"/>
    <mergeCell ref="U84:W84"/>
    <mergeCell ref="U85:W85"/>
    <mergeCell ref="AC85:AF85"/>
    <mergeCell ref="U86:W86"/>
    <mergeCell ref="Y86:AA86"/>
    <mergeCell ref="U87:W87"/>
    <mergeCell ref="Y87:AA87"/>
    <mergeCell ref="Y92:AA92"/>
    <mergeCell ref="AC92:AF92"/>
    <mergeCell ref="U93:W93"/>
    <mergeCell ref="Y93:AA93"/>
    <mergeCell ref="AC93:AF93"/>
    <mergeCell ref="A94:Y94"/>
    <mergeCell ref="U89:W89"/>
    <mergeCell ref="Y89:AA89"/>
    <mergeCell ref="AC89:AF89"/>
    <mergeCell ref="U90:W90"/>
    <mergeCell ref="Y90:AA90"/>
    <mergeCell ref="AC90:AF90"/>
    <mergeCell ref="U92:W92"/>
    <mergeCell ref="T67:U67"/>
    <mergeCell ref="T68:U68"/>
    <mergeCell ref="W68:Z68"/>
    <mergeCell ref="T69:U69"/>
    <mergeCell ref="W69:Z69"/>
    <mergeCell ref="T70:U70"/>
    <mergeCell ref="T71:U71"/>
    <mergeCell ref="I73:R73"/>
    <mergeCell ref="J74:Q74"/>
    <mergeCell ref="K75:Q75"/>
    <mergeCell ref="L76:P76"/>
    <mergeCell ref="J77:Q77"/>
    <mergeCell ref="K78:Q78"/>
    <mergeCell ref="L79:P79"/>
    <mergeCell ref="W70:Z70"/>
    <mergeCell ref="W71:Z71"/>
    <mergeCell ref="A72:B72"/>
    <mergeCell ref="H72:R72"/>
    <mergeCell ref="W72:Z72"/>
    <mergeCell ref="A73:B73"/>
    <mergeCell ref="W73:Z73"/>
    <mergeCell ref="AA75:AE75"/>
    <mergeCell ref="AA76:AE76"/>
    <mergeCell ref="AA77:AE77"/>
    <mergeCell ref="AA78:AE78"/>
    <mergeCell ref="AA79:AE79"/>
    <mergeCell ref="A76:B76"/>
    <mergeCell ref="A77:B77"/>
    <mergeCell ref="A78:B78"/>
    <mergeCell ref="A79:B79"/>
    <mergeCell ref="D72:G72"/>
    <mergeCell ref="D73:G73"/>
    <mergeCell ref="A74:B74"/>
    <mergeCell ref="D74:G74"/>
    <mergeCell ref="A75:B75"/>
    <mergeCell ref="D75:G75"/>
    <mergeCell ref="D76:G76"/>
    <mergeCell ref="AC83:AF83"/>
    <mergeCell ref="AC84:AF84"/>
    <mergeCell ref="W12:Z12"/>
    <mergeCell ref="W13:Z13"/>
    <mergeCell ref="AA13:AE13"/>
    <mergeCell ref="AG13:AJ13"/>
    <mergeCell ref="W10:Z10"/>
    <mergeCell ref="AA10:AE10"/>
    <mergeCell ref="W11:Z11"/>
    <mergeCell ref="AA11:AE11"/>
    <mergeCell ref="AG11:AJ11"/>
    <mergeCell ref="AA12:AE12"/>
    <mergeCell ref="AG12:AJ12"/>
    <mergeCell ref="W15:Z15"/>
    <mergeCell ref="AA15:AE15"/>
    <mergeCell ref="L13:P13"/>
    <mergeCell ref="L14:P14"/>
    <mergeCell ref="W14:Z14"/>
    <mergeCell ref="AA14:AE14"/>
    <mergeCell ref="AG14:AJ14"/>
    <mergeCell ref="K15:Q15"/>
    <mergeCell ref="T15:U15"/>
    <mergeCell ref="AG15:AJ15"/>
    <mergeCell ref="AE2:AI2"/>
    <mergeCell ref="AE3:AH3"/>
    <mergeCell ref="AI3:AJ3"/>
    <mergeCell ref="AE4:AH4"/>
    <mergeCell ref="AI4:AJ4"/>
    <mergeCell ref="AG8:AJ8"/>
    <mergeCell ref="A1:E1"/>
    <mergeCell ref="F1:AC1"/>
    <mergeCell ref="AE1:AI1"/>
    <mergeCell ref="A2:D2"/>
    <mergeCell ref="F2:N2"/>
    <mergeCell ref="F3:N3"/>
    <mergeCell ref="A6:AJ6"/>
    <mergeCell ref="A3:D3"/>
    <mergeCell ref="A8:B8"/>
    <mergeCell ref="D8:F8"/>
    <mergeCell ref="H8:O8"/>
    <mergeCell ref="P8:U8"/>
    <mergeCell ref="W8:Z8"/>
    <mergeCell ref="AA8:AE8"/>
    <mergeCell ref="T9:U9"/>
    <mergeCell ref="T10:U10"/>
    <mergeCell ref="T11:U11"/>
    <mergeCell ref="T12:U12"/>
    <mergeCell ref="T13:U13"/>
    <mergeCell ref="T14:U14"/>
    <mergeCell ref="T16:U16"/>
    <mergeCell ref="A9:B9"/>
    <mergeCell ref="H9:R9"/>
    <mergeCell ref="W9:Z9"/>
    <mergeCell ref="AA9:AE9"/>
    <mergeCell ref="AG9:AJ9"/>
    <mergeCell ref="A10:B10"/>
    <mergeCell ref="I10:R10"/>
    <mergeCell ref="AG10:AJ10"/>
    <mergeCell ref="D9:G9"/>
    <mergeCell ref="D10:G10"/>
    <mergeCell ref="A11:B11"/>
    <mergeCell ref="D11:G11"/>
    <mergeCell ref="J11:Q11"/>
    <mergeCell ref="D12:G12"/>
    <mergeCell ref="K12:Q12"/>
    <mergeCell ref="AG16:AJ16"/>
    <mergeCell ref="AG17:AJ17"/>
    <mergeCell ref="W24:Z24"/>
    <mergeCell ref="W25:Z25"/>
    <mergeCell ref="W16:Z16"/>
    <mergeCell ref="W17:Z17"/>
    <mergeCell ref="W19:Z19"/>
    <mergeCell ref="W20:Z20"/>
    <mergeCell ref="W21:Z21"/>
    <mergeCell ref="W22:Z22"/>
    <mergeCell ref="W23:Z23"/>
    <mergeCell ref="W28:Z28"/>
    <mergeCell ref="AA28:AE28"/>
    <mergeCell ref="L27:P27"/>
    <mergeCell ref="T27:U27"/>
    <mergeCell ref="W27:Z27"/>
    <mergeCell ref="AA27:AE27"/>
    <mergeCell ref="AG27:AJ27"/>
    <mergeCell ref="T28:U28"/>
    <mergeCell ref="AG28:AJ28"/>
    <mergeCell ref="A12:B12"/>
    <mergeCell ref="A13:B13"/>
    <mergeCell ref="D13:G13"/>
    <mergeCell ref="A14:B14"/>
    <mergeCell ref="D14:G14"/>
    <mergeCell ref="A15:B15"/>
    <mergeCell ref="A16:B16"/>
    <mergeCell ref="A17:B17"/>
    <mergeCell ref="D17:G17"/>
    <mergeCell ref="A18:B18"/>
    <mergeCell ref="D18:G18"/>
    <mergeCell ref="A19:B19"/>
    <mergeCell ref="D19:G19"/>
    <mergeCell ref="D20:G20"/>
    <mergeCell ref="A20:B20"/>
    <mergeCell ref="A21:B21"/>
    <mergeCell ref="A22:B22"/>
    <mergeCell ref="A23:B23"/>
    <mergeCell ref="A24:B24"/>
    <mergeCell ref="A25:B25"/>
    <mergeCell ref="A26:B26"/>
    <mergeCell ref="D21:G21"/>
    <mergeCell ref="D22:G22"/>
    <mergeCell ref="D23:G23"/>
    <mergeCell ref="D24:G24"/>
    <mergeCell ref="D25:G25"/>
    <mergeCell ref="D26:G26"/>
    <mergeCell ref="D27:G27"/>
    <mergeCell ref="A27:B27"/>
    <mergeCell ref="A28:B28"/>
    <mergeCell ref="A29:B29"/>
    <mergeCell ref="A30:B30"/>
    <mergeCell ref="A31:B31"/>
    <mergeCell ref="A32:B32"/>
    <mergeCell ref="A33:B33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T72:U72"/>
    <mergeCell ref="T73:U73"/>
    <mergeCell ref="T74:U74"/>
    <mergeCell ref="W74:Z74"/>
    <mergeCell ref="T75:U75"/>
    <mergeCell ref="W75:Z75"/>
    <mergeCell ref="W76:Z76"/>
    <mergeCell ref="AA72:AE72"/>
    <mergeCell ref="AG72:AJ72"/>
    <mergeCell ref="AA73:AE73"/>
    <mergeCell ref="AG73:AJ73"/>
    <mergeCell ref="AA74:AE74"/>
    <mergeCell ref="AG74:AJ74"/>
    <mergeCell ref="AG75:AJ75"/>
    <mergeCell ref="AH85:AJ85"/>
    <mergeCell ref="AH86:AJ86"/>
    <mergeCell ref="AH87:AJ87"/>
    <mergeCell ref="AH89:AJ89"/>
    <mergeCell ref="AH90:AJ90"/>
    <mergeCell ref="AH92:AJ92"/>
    <mergeCell ref="AH93:AJ93"/>
    <mergeCell ref="AG76:AJ76"/>
    <mergeCell ref="AG77:AJ77"/>
    <mergeCell ref="AG78:AJ78"/>
    <mergeCell ref="AG79:AJ79"/>
    <mergeCell ref="AH82:AJ82"/>
    <mergeCell ref="AH83:AJ83"/>
    <mergeCell ref="AH84:AJ84"/>
  </mergeCells>
  <printOptions/>
  <pageMargins bottom="0.75" footer="0.0" header="0.0" left="0.75" right="0.7874015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78.43"/>
    <col customWidth="1" min="3" max="3" width="8.71"/>
    <col customWidth="1" min="4" max="4" width="2.43"/>
    <col customWidth="1" min="5" max="20" width="8.71"/>
  </cols>
  <sheetData>
    <row r="1">
      <c r="B1" s="52"/>
      <c r="C1" s="53"/>
      <c r="D1" s="53"/>
    </row>
    <row r="2">
      <c r="A2" s="54">
        <v>1.0</v>
      </c>
      <c r="B2" s="55" t="s">
        <v>181</v>
      </c>
      <c r="C2" s="55"/>
      <c r="D2" s="56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</row>
    <row r="3">
      <c r="A3" s="54">
        <v>2.0</v>
      </c>
      <c r="B3" s="58" t="s">
        <v>2</v>
      </c>
      <c r="C3" s="55"/>
      <c r="D3" s="56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</row>
    <row r="4">
      <c r="A4" s="54">
        <v>3.0</v>
      </c>
      <c r="B4" s="55" t="s">
        <v>182</v>
      </c>
      <c r="C4" s="59"/>
      <c r="D4" s="59"/>
    </row>
    <row r="5">
      <c r="A5" s="54">
        <v>4.0</v>
      </c>
      <c r="B5" s="60" t="s">
        <v>183</v>
      </c>
      <c r="C5" s="59"/>
      <c r="D5" s="59"/>
    </row>
    <row r="6">
      <c r="A6" s="61">
        <v>46026.0</v>
      </c>
      <c r="B6" s="55" t="s">
        <v>184</v>
      </c>
      <c r="C6" s="59"/>
      <c r="D6" s="59"/>
    </row>
    <row r="7">
      <c r="A7" s="61">
        <v>46057.0</v>
      </c>
      <c r="B7" s="55" t="s">
        <v>185</v>
      </c>
    </row>
    <row r="8">
      <c r="A8" s="61">
        <v>46085.0</v>
      </c>
      <c r="B8" s="55" t="s">
        <v>186</v>
      </c>
      <c r="C8" s="59"/>
      <c r="D8" s="59"/>
    </row>
    <row r="9">
      <c r="A9" s="61">
        <v>46116.0</v>
      </c>
      <c r="B9" s="55" t="s">
        <v>187</v>
      </c>
      <c r="C9" s="59"/>
      <c r="D9" s="59"/>
    </row>
    <row r="10">
      <c r="A10" s="62"/>
      <c r="B10" s="63"/>
      <c r="C10" s="59"/>
      <c r="D10" s="59"/>
    </row>
    <row r="11">
      <c r="A11" s="54">
        <v>5.0</v>
      </c>
      <c r="B11" s="64" t="s">
        <v>188</v>
      </c>
      <c r="C11" s="59"/>
      <c r="D11" s="59"/>
    </row>
    <row r="12">
      <c r="A12" s="54"/>
      <c r="B12" s="65"/>
      <c r="C12" s="65"/>
      <c r="D12" s="59"/>
    </row>
    <row r="13">
      <c r="A13" s="54">
        <v>6.0</v>
      </c>
      <c r="B13" s="65" t="s">
        <v>189</v>
      </c>
      <c r="D13" s="59"/>
    </row>
    <row r="14">
      <c r="A14" s="61">
        <v>46027.0</v>
      </c>
      <c r="B14" s="66" t="s">
        <v>11</v>
      </c>
      <c r="C14" s="59"/>
      <c r="D14" s="59"/>
    </row>
    <row r="15">
      <c r="A15" s="61">
        <v>46058.0</v>
      </c>
      <c r="B15" s="63" t="s">
        <v>5</v>
      </c>
      <c r="C15" s="55"/>
      <c r="D15" s="59"/>
    </row>
    <row r="16">
      <c r="A16" s="61">
        <v>46086.0</v>
      </c>
      <c r="B16" s="67" t="s">
        <v>6</v>
      </c>
      <c r="C16" s="55"/>
      <c r="D16" s="59"/>
    </row>
    <row r="17">
      <c r="A17" s="61">
        <v>46117.0</v>
      </c>
      <c r="B17" s="63" t="s">
        <v>190</v>
      </c>
      <c r="C17" s="59"/>
      <c r="D17" s="59"/>
    </row>
    <row r="18">
      <c r="A18" s="61">
        <v>46147.0</v>
      </c>
      <c r="B18" s="63" t="s">
        <v>8</v>
      </c>
      <c r="C18" s="55"/>
      <c r="D18" s="59"/>
    </row>
    <row r="19">
      <c r="A19" s="61">
        <v>46178.0</v>
      </c>
      <c r="B19" s="63" t="s">
        <v>191</v>
      </c>
      <c r="C19" s="55"/>
      <c r="D19" s="53"/>
    </row>
    <row r="20">
      <c r="C20" s="53"/>
      <c r="D20" s="53"/>
    </row>
    <row r="21">
      <c r="A21" s="54">
        <v>7.0</v>
      </c>
      <c r="B21" s="55" t="s">
        <v>192</v>
      </c>
      <c r="C21" s="53"/>
      <c r="D21" s="53"/>
    </row>
    <row r="22" ht="15.75" customHeight="1">
      <c r="B22" s="52"/>
      <c r="C22" s="53"/>
      <c r="D22" s="53"/>
    </row>
    <row r="23" ht="15.75" customHeight="1">
      <c r="A23" s="54">
        <v>8.0</v>
      </c>
      <c r="B23" s="68" t="s">
        <v>193</v>
      </c>
      <c r="C23" s="53"/>
      <c r="D23" s="53"/>
    </row>
    <row r="24" ht="15.75" customHeight="1">
      <c r="B24" s="52"/>
      <c r="C24" s="53"/>
      <c r="D24" s="53"/>
    </row>
    <row r="25" ht="15.75" customHeight="1">
      <c r="A25" s="54">
        <v>9.0</v>
      </c>
      <c r="B25" s="68" t="s">
        <v>194</v>
      </c>
      <c r="C25" s="53"/>
      <c r="D25" s="53"/>
    </row>
    <row r="26" ht="15.75" customHeight="1">
      <c r="B26" s="52"/>
      <c r="C26" s="53"/>
      <c r="D26" s="53"/>
    </row>
    <row r="27" ht="15.75" customHeight="1">
      <c r="A27" s="54">
        <v>10.0</v>
      </c>
      <c r="B27" s="68" t="s">
        <v>14</v>
      </c>
      <c r="C27" s="53"/>
      <c r="D27" s="53"/>
    </row>
    <row r="28" ht="15.75" customHeight="1">
      <c r="B28" s="52"/>
      <c r="C28" s="53"/>
      <c r="D28" s="53"/>
    </row>
    <row r="29" ht="15.75" customHeight="1">
      <c r="B29" s="52"/>
      <c r="C29" s="53"/>
      <c r="D29" s="53"/>
    </row>
    <row r="30" ht="15.75" customHeight="1">
      <c r="B30" s="52"/>
      <c r="C30" s="53"/>
      <c r="D30" s="53"/>
    </row>
    <row r="31" ht="15.75" customHeight="1">
      <c r="B31" s="52"/>
      <c r="C31" s="53"/>
      <c r="D31" s="53"/>
    </row>
    <row r="32" ht="15.75" customHeight="1">
      <c r="B32" s="52"/>
      <c r="C32" s="53"/>
      <c r="D32" s="53"/>
    </row>
    <row r="33" ht="15.75" customHeight="1">
      <c r="B33" s="52"/>
      <c r="C33" s="53"/>
      <c r="D33" s="53"/>
    </row>
    <row r="34" ht="15.75" customHeight="1">
      <c r="B34" s="52"/>
      <c r="C34" s="53"/>
      <c r="D34" s="53"/>
    </row>
    <row r="35" ht="15.75" customHeight="1">
      <c r="B35" s="52"/>
      <c r="C35" s="53"/>
      <c r="D35" s="53"/>
    </row>
    <row r="36" ht="15.75" customHeight="1">
      <c r="B36" s="52"/>
      <c r="C36" s="53"/>
      <c r="D36" s="53"/>
    </row>
    <row r="37" ht="15.75" customHeight="1">
      <c r="B37" s="52"/>
      <c r="C37" s="53"/>
      <c r="D37" s="53"/>
    </row>
    <row r="38" ht="15.75" customHeight="1">
      <c r="B38" s="52"/>
      <c r="C38" s="53"/>
      <c r="D38" s="53"/>
    </row>
    <row r="39" ht="15.75" customHeight="1">
      <c r="B39" s="52"/>
      <c r="C39" s="53"/>
      <c r="D39" s="53"/>
    </row>
    <row r="40" ht="15.75" customHeight="1">
      <c r="B40" s="52"/>
      <c r="C40" s="53"/>
      <c r="D40" s="53"/>
    </row>
    <row r="41" ht="15.75" customHeight="1">
      <c r="B41" s="52"/>
      <c r="C41" s="53"/>
      <c r="D41" s="53"/>
    </row>
    <row r="42" ht="15.75" customHeight="1">
      <c r="B42" s="52"/>
      <c r="C42" s="53"/>
      <c r="D42" s="53"/>
    </row>
    <row r="43" ht="15.75" customHeight="1">
      <c r="B43" s="52"/>
      <c r="C43" s="53"/>
      <c r="D43" s="53"/>
    </row>
    <row r="44" ht="15.75" customHeight="1">
      <c r="B44" s="52"/>
      <c r="C44" s="53"/>
      <c r="D44" s="53"/>
    </row>
    <row r="45" ht="15.75" customHeight="1">
      <c r="B45" s="52"/>
      <c r="C45" s="53"/>
      <c r="D45" s="53"/>
    </row>
    <row r="46" ht="15.75" customHeight="1">
      <c r="B46" s="52"/>
      <c r="C46" s="53"/>
      <c r="D46" s="53"/>
    </row>
    <row r="47" ht="15.75" customHeight="1">
      <c r="B47" s="52"/>
      <c r="C47" s="53"/>
      <c r="D47" s="53"/>
    </row>
    <row r="48" ht="15.75" customHeight="1">
      <c r="B48" s="52"/>
      <c r="C48" s="53"/>
      <c r="D48" s="53"/>
    </row>
    <row r="49" ht="15.75" customHeight="1">
      <c r="B49" s="52"/>
      <c r="C49" s="53"/>
      <c r="D49" s="53"/>
    </row>
    <row r="50" ht="15.75" customHeight="1">
      <c r="B50" s="52"/>
      <c r="C50" s="53"/>
      <c r="D50" s="53"/>
    </row>
    <row r="51" ht="15.75" customHeight="1">
      <c r="B51" s="52"/>
      <c r="C51" s="53"/>
      <c r="D51" s="53"/>
    </row>
    <row r="52" ht="15.75" customHeight="1">
      <c r="B52" s="52"/>
      <c r="C52" s="53"/>
      <c r="D52" s="53"/>
    </row>
    <row r="53" ht="15.75" customHeight="1">
      <c r="B53" s="52"/>
      <c r="C53" s="53"/>
      <c r="D53" s="53"/>
    </row>
    <row r="54" ht="15.75" customHeight="1">
      <c r="B54" s="52"/>
      <c r="C54" s="53"/>
      <c r="D54" s="53"/>
    </row>
    <row r="55" ht="15.75" customHeight="1">
      <c r="B55" s="52"/>
      <c r="C55" s="53"/>
      <c r="D55" s="53"/>
    </row>
    <row r="56" ht="15.75" customHeight="1">
      <c r="B56" s="52"/>
      <c r="C56" s="53"/>
      <c r="D56" s="53"/>
    </row>
    <row r="57" ht="15.75" customHeight="1">
      <c r="B57" s="52"/>
      <c r="C57" s="53"/>
      <c r="D57" s="53"/>
    </row>
    <row r="58" ht="15.75" customHeight="1">
      <c r="B58" s="52"/>
      <c r="C58" s="53"/>
      <c r="D58" s="53"/>
    </row>
    <row r="59" ht="15.75" customHeight="1">
      <c r="B59" s="52"/>
      <c r="C59" s="53"/>
      <c r="D59" s="53"/>
    </row>
    <row r="60" ht="15.75" customHeight="1">
      <c r="B60" s="52"/>
      <c r="C60" s="53"/>
      <c r="D60" s="53"/>
    </row>
    <row r="61" ht="15.75" customHeight="1">
      <c r="B61" s="52"/>
      <c r="C61" s="53"/>
      <c r="D61" s="53"/>
    </row>
    <row r="62" ht="15.75" customHeight="1">
      <c r="B62" s="52"/>
      <c r="C62" s="53"/>
      <c r="D62" s="53"/>
    </row>
    <row r="63" ht="15.75" customHeight="1">
      <c r="B63" s="52"/>
      <c r="C63" s="53"/>
      <c r="D63" s="53"/>
    </row>
    <row r="64" ht="15.75" customHeight="1">
      <c r="B64" s="52"/>
      <c r="C64" s="53"/>
      <c r="D64" s="53"/>
    </row>
    <row r="65" ht="15.75" customHeight="1">
      <c r="B65" s="52"/>
      <c r="C65" s="53"/>
      <c r="D65" s="53"/>
    </row>
    <row r="66" ht="15.75" customHeight="1">
      <c r="B66" s="52"/>
      <c r="C66" s="53"/>
      <c r="D66" s="53"/>
    </row>
    <row r="67" ht="15.75" customHeight="1">
      <c r="B67" s="52"/>
      <c r="C67" s="53"/>
      <c r="D67" s="53"/>
    </row>
    <row r="68" ht="15.75" customHeight="1">
      <c r="B68" s="52"/>
      <c r="C68" s="53"/>
      <c r="D68" s="53"/>
    </row>
    <row r="69" ht="15.75" customHeight="1">
      <c r="B69" s="52"/>
      <c r="C69" s="53"/>
      <c r="D69" s="53"/>
    </row>
    <row r="70" ht="15.75" customHeight="1">
      <c r="B70" s="52"/>
      <c r="C70" s="53"/>
      <c r="D70" s="53"/>
    </row>
    <row r="71" ht="15.75" customHeight="1">
      <c r="B71" s="52"/>
      <c r="C71" s="53"/>
      <c r="D71" s="53"/>
    </row>
    <row r="72" ht="15.75" customHeight="1">
      <c r="B72" s="52"/>
      <c r="C72" s="53"/>
      <c r="D72" s="53"/>
    </row>
    <row r="73" ht="15.75" customHeight="1">
      <c r="B73" s="52"/>
      <c r="C73" s="53"/>
      <c r="D73" s="53"/>
    </row>
    <row r="74" ht="15.75" customHeight="1">
      <c r="B74" s="52"/>
      <c r="C74" s="53"/>
      <c r="D74" s="53"/>
    </row>
    <row r="75" ht="15.75" customHeight="1">
      <c r="B75" s="52"/>
      <c r="C75" s="53"/>
      <c r="D75" s="53"/>
    </row>
    <row r="76" ht="15.75" customHeight="1">
      <c r="B76" s="52"/>
      <c r="C76" s="53"/>
      <c r="D76" s="53"/>
    </row>
    <row r="77" ht="15.75" customHeight="1">
      <c r="B77" s="52"/>
      <c r="C77" s="53"/>
      <c r="D77" s="53"/>
    </row>
    <row r="78" ht="15.75" customHeight="1">
      <c r="B78" s="52"/>
      <c r="C78" s="53"/>
      <c r="D78" s="53"/>
    </row>
    <row r="79" ht="15.75" customHeight="1">
      <c r="B79" s="52"/>
      <c r="C79" s="53"/>
      <c r="D79" s="53"/>
    </row>
    <row r="80" ht="15.75" customHeight="1">
      <c r="B80" s="52"/>
      <c r="C80" s="53"/>
      <c r="D80" s="53"/>
    </row>
    <row r="81" ht="15.75" customHeight="1">
      <c r="B81" s="52"/>
      <c r="C81" s="53"/>
      <c r="D81" s="53"/>
    </row>
    <row r="82" ht="15.75" customHeight="1">
      <c r="B82" s="52"/>
      <c r="C82" s="53"/>
      <c r="D82" s="53"/>
    </row>
    <row r="83" ht="15.75" customHeight="1">
      <c r="B83" s="52"/>
      <c r="C83" s="53"/>
      <c r="D83" s="53"/>
    </row>
    <row r="84" ht="15.75" customHeight="1">
      <c r="B84" s="52"/>
      <c r="C84" s="53"/>
      <c r="D84" s="53"/>
    </row>
    <row r="85" ht="15.75" customHeight="1">
      <c r="B85" s="52"/>
      <c r="C85" s="53"/>
      <c r="D85" s="53"/>
    </row>
    <row r="86" ht="15.75" customHeight="1">
      <c r="B86" s="52"/>
      <c r="C86" s="53"/>
      <c r="D86" s="53"/>
    </row>
    <row r="87" ht="15.75" customHeight="1">
      <c r="B87" s="52"/>
      <c r="C87" s="53"/>
      <c r="D87" s="53"/>
    </row>
    <row r="88" ht="15.75" customHeight="1">
      <c r="B88" s="52"/>
      <c r="C88" s="53"/>
      <c r="D88" s="53"/>
    </row>
    <row r="89" ht="15.75" customHeight="1">
      <c r="B89" s="52"/>
      <c r="C89" s="53"/>
      <c r="D89" s="53"/>
    </row>
    <row r="90" ht="15.75" customHeight="1">
      <c r="B90" s="52"/>
      <c r="C90" s="53"/>
      <c r="D90" s="53"/>
    </row>
    <row r="91" ht="15.75" customHeight="1">
      <c r="B91" s="52"/>
      <c r="C91" s="53"/>
      <c r="D91" s="53"/>
    </row>
    <row r="92" ht="15.75" customHeight="1">
      <c r="B92" s="52"/>
      <c r="C92" s="53"/>
      <c r="D92" s="53"/>
    </row>
    <row r="93" ht="15.75" customHeight="1">
      <c r="B93" s="52"/>
      <c r="C93" s="53"/>
      <c r="D93" s="53"/>
    </row>
    <row r="94" ht="15.75" customHeight="1">
      <c r="B94" s="52"/>
      <c r="C94" s="53"/>
      <c r="D94" s="53"/>
    </row>
    <row r="95" ht="15.75" customHeight="1">
      <c r="B95" s="52"/>
      <c r="C95" s="53"/>
      <c r="D95" s="53"/>
    </row>
    <row r="96" ht="15.75" customHeight="1">
      <c r="B96" s="52"/>
      <c r="C96" s="53"/>
      <c r="D96" s="53"/>
    </row>
    <row r="97" ht="15.75" customHeight="1">
      <c r="B97" s="52"/>
      <c r="C97" s="53"/>
      <c r="D97" s="53"/>
    </row>
    <row r="98" ht="15.75" customHeight="1">
      <c r="B98" s="52"/>
      <c r="C98" s="53"/>
      <c r="D98" s="53"/>
    </row>
    <row r="99" ht="15.75" customHeight="1">
      <c r="B99" s="52"/>
      <c r="C99" s="53"/>
      <c r="D99" s="53"/>
    </row>
    <row r="100" ht="15.75" customHeight="1">
      <c r="B100" s="52"/>
      <c r="C100" s="53"/>
      <c r="D100" s="53"/>
    </row>
    <row r="101" ht="15.75" customHeight="1">
      <c r="B101" s="52"/>
      <c r="C101" s="53"/>
      <c r="D101" s="53"/>
    </row>
    <row r="102" ht="15.75" customHeight="1">
      <c r="B102" s="52"/>
      <c r="C102" s="53"/>
      <c r="D102" s="53"/>
    </row>
    <row r="103" ht="15.75" customHeight="1">
      <c r="B103" s="52"/>
      <c r="C103" s="53"/>
      <c r="D103" s="53"/>
    </row>
    <row r="104" ht="15.75" customHeight="1">
      <c r="B104" s="52"/>
      <c r="C104" s="53"/>
      <c r="D104" s="53"/>
    </row>
    <row r="105" ht="15.75" customHeight="1">
      <c r="B105" s="52"/>
      <c r="C105" s="53"/>
      <c r="D105" s="53"/>
    </row>
    <row r="106" ht="15.75" customHeight="1">
      <c r="B106" s="52"/>
      <c r="C106" s="53"/>
      <c r="D106" s="53"/>
    </row>
    <row r="107" ht="15.75" customHeight="1">
      <c r="B107" s="52"/>
      <c r="C107" s="53"/>
      <c r="D107" s="53"/>
    </row>
    <row r="108" ht="15.75" customHeight="1">
      <c r="B108" s="52"/>
      <c r="C108" s="53"/>
      <c r="D108" s="53"/>
    </row>
    <row r="109" ht="15.75" customHeight="1">
      <c r="B109" s="52"/>
      <c r="C109" s="53"/>
      <c r="D109" s="53"/>
    </row>
    <row r="110" ht="15.75" customHeight="1">
      <c r="B110" s="52"/>
      <c r="C110" s="53"/>
      <c r="D110" s="53"/>
    </row>
    <row r="111" ht="15.75" customHeight="1">
      <c r="B111" s="52"/>
      <c r="C111" s="53"/>
      <c r="D111" s="53"/>
    </row>
    <row r="112" ht="15.75" customHeight="1">
      <c r="B112" s="52"/>
      <c r="C112" s="53"/>
      <c r="D112" s="53"/>
    </row>
    <row r="113" ht="15.75" customHeight="1">
      <c r="B113" s="52"/>
      <c r="C113" s="53"/>
      <c r="D113" s="53"/>
    </row>
    <row r="114" ht="15.75" customHeight="1">
      <c r="B114" s="52"/>
      <c r="C114" s="53"/>
      <c r="D114" s="53"/>
    </row>
    <row r="115" ht="15.75" customHeight="1">
      <c r="B115" s="52"/>
      <c r="C115" s="53"/>
      <c r="D115" s="53"/>
    </row>
    <row r="116" ht="15.75" customHeight="1">
      <c r="B116" s="52"/>
      <c r="C116" s="53"/>
      <c r="D116" s="53"/>
    </row>
    <row r="117" ht="15.75" customHeight="1">
      <c r="B117" s="52"/>
      <c r="C117" s="53"/>
      <c r="D117" s="53"/>
    </row>
    <row r="118" ht="15.75" customHeight="1">
      <c r="B118" s="52"/>
      <c r="C118" s="53"/>
      <c r="D118" s="53"/>
    </row>
    <row r="119" ht="15.75" customHeight="1">
      <c r="B119" s="52"/>
      <c r="C119" s="53"/>
      <c r="D119" s="53"/>
    </row>
    <row r="120" ht="15.75" customHeight="1">
      <c r="B120" s="52"/>
      <c r="C120" s="53"/>
      <c r="D120" s="53"/>
    </row>
    <row r="121" ht="15.75" customHeight="1">
      <c r="B121" s="52"/>
      <c r="C121" s="53"/>
      <c r="D121" s="53"/>
    </row>
    <row r="122" ht="15.75" customHeight="1">
      <c r="B122" s="52"/>
      <c r="C122" s="53"/>
      <c r="D122" s="53"/>
    </row>
    <row r="123" ht="15.75" customHeight="1">
      <c r="B123" s="52"/>
      <c r="C123" s="53"/>
      <c r="D123" s="53"/>
    </row>
    <row r="124" ht="15.75" customHeight="1">
      <c r="B124" s="52"/>
      <c r="C124" s="53"/>
      <c r="D124" s="53"/>
    </row>
    <row r="125" ht="15.75" customHeight="1">
      <c r="B125" s="52"/>
      <c r="C125" s="53"/>
      <c r="D125" s="53"/>
    </row>
    <row r="126" ht="15.75" customHeight="1">
      <c r="B126" s="52"/>
      <c r="C126" s="53"/>
      <c r="D126" s="53"/>
    </row>
    <row r="127" ht="15.75" customHeight="1">
      <c r="B127" s="52"/>
      <c r="C127" s="53"/>
      <c r="D127" s="53"/>
    </row>
    <row r="128" ht="15.75" customHeight="1">
      <c r="B128" s="52"/>
      <c r="C128" s="53"/>
      <c r="D128" s="53"/>
    </row>
    <row r="129" ht="15.75" customHeight="1">
      <c r="B129" s="52"/>
      <c r="C129" s="53"/>
      <c r="D129" s="53"/>
    </row>
    <row r="130" ht="15.75" customHeight="1">
      <c r="B130" s="52"/>
      <c r="C130" s="53"/>
      <c r="D130" s="53"/>
    </row>
    <row r="131" ht="15.75" customHeight="1">
      <c r="B131" s="52"/>
      <c r="C131" s="53"/>
      <c r="D131" s="53"/>
    </row>
    <row r="132" ht="15.75" customHeight="1">
      <c r="B132" s="52"/>
      <c r="C132" s="53"/>
      <c r="D132" s="53"/>
    </row>
    <row r="133" ht="15.75" customHeight="1">
      <c r="B133" s="52"/>
      <c r="C133" s="53"/>
      <c r="D133" s="53"/>
    </row>
    <row r="134" ht="15.75" customHeight="1">
      <c r="B134" s="52"/>
      <c r="C134" s="53"/>
      <c r="D134" s="53"/>
    </row>
    <row r="135" ht="15.75" customHeight="1">
      <c r="B135" s="52"/>
      <c r="C135" s="53"/>
      <c r="D135" s="53"/>
    </row>
    <row r="136" ht="15.75" customHeight="1">
      <c r="B136" s="52"/>
      <c r="C136" s="53"/>
      <c r="D136" s="53"/>
    </row>
    <row r="137" ht="15.75" customHeight="1">
      <c r="B137" s="52"/>
      <c r="C137" s="53"/>
      <c r="D137" s="53"/>
    </row>
    <row r="138" ht="15.75" customHeight="1">
      <c r="B138" s="52"/>
      <c r="C138" s="53"/>
      <c r="D138" s="53"/>
    </row>
    <row r="139" ht="15.75" customHeight="1">
      <c r="B139" s="52"/>
      <c r="C139" s="53"/>
      <c r="D139" s="53"/>
    </row>
    <row r="140" ht="15.75" customHeight="1">
      <c r="B140" s="52"/>
      <c r="C140" s="53"/>
      <c r="D140" s="53"/>
    </row>
    <row r="141" ht="15.75" customHeight="1">
      <c r="B141" s="52"/>
      <c r="C141" s="53"/>
      <c r="D141" s="53"/>
    </row>
    <row r="142" ht="15.75" customHeight="1">
      <c r="B142" s="52"/>
      <c r="C142" s="53"/>
      <c r="D142" s="53"/>
    </row>
    <row r="143" ht="15.75" customHeight="1">
      <c r="B143" s="52"/>
      <c r="C143" s="53"/>
      <c r="D143" s="53"/>
    </row>
    <row r="144" ht="15.75" customHeight="1">
      <c r="B144" s="52"/>
      <c r="C144" s="53"/>
      <c r="D144" s="53"/>
    </row>
    <row r="145" ht="15.75" customHeight="1">
      <c r="B145" s="52"/>
      <c r="C145" s="53"/>
      <c r="D145" s="53"/>
    </row>
    <row r="146" ht="15.75" customHeight="1">
      <c r="B146" s="52"/>
      <c r="C146" s="53"/>
      <c r="D146" s="53"/>
    </row>
    <row r="147" ht="15.75" customHeight="1">
      <c r="B147" s="52"/>
      <c r="C147" s="53"/>
      <c r="D147" s="53"/>
    </row>
    <row r="148" ht="15.75" customHeight="1">
      <c r="B148" s="52"/>
      <c r="C148" s="53"/>
      <c r="D148" s="53"/>
    </row>
    <row r="149" ht="15.75" customHeight="1">
      <c r="B149" s="52"/>
      <c r="C149" s="53"/>
      <c r="D149" s="53"/>
    </row>
    <row r="150" ht="15.75" customHeight="1">
      <c r="B150" s="52"/>
      <c r="C150" s="53"/>
      <c r="D150" s="53"/>
    </row>
    <row r="151" ht="15.75" customHeight="1">
      <c r="B151" s="52"/>
      <c r="C151" s="53"/>
      <c r="D151" s="53"/>
    </row>
    <row r="152" ht="15.75" customHeight="1">
      <c r="B152" s="52"/>
      <c r="C152" s="53"/>
      <c r="D152" s="53"/>
    </row>
    <row r="153" ht="15.75" customHeight="1">
      <c r="B153" s="52"/>
      <c r="C153" s="53"/>
      <c r="D153" s="53"/>
    </row>
    <row r="154" ht="15.75" customHeight="1">
      <c r="B154" s="52"/>
      <c r="C154" s="53"/>
      <c r="D154" s="53"/>
    </row>
    <row r="155" ht="15.75" customHeight="1">
      <c r="B155" s="52"/>
      <c r="C155" s="53"/>
      <c r="D155" s="53"/>
    </row>
    <row r="156" ht="15.75" customHeight="1">
      <c r="B156" s="52"/>
      <c r="C156" s="53"/>
      <c r="D156" s="53"/>
    </row>
    <row r="157" ht="15.75" customHeight="1">
      <c r="B157" s="52"/>
      <c r="C157" s="53"/>
      <c r="D157" s="53"/>
    </row>
    <row r="158" ht="15.75" customHeight="1">
      <c r="B158" s="52"/>
      <c r="C158" s="53"/>
      <c r="D158" s="53"/>
    </row>
    <row r="159" ht="15.75" customHeight="1">
      <c r="B159" s="52"/>
      <c r="C159" s="53"/>
      <c r="D159" s="53"/>
    </row>
    <row r="160" ht="15.75" customHeight="1">
      <c r="B160" s="52"/>
      <c r="C160" s="53"/>
      <c r="D160" s="53"/>
    </row>
    <row r="161" ht="15.75" customHeight="1">
      <c r="B161" s="52"/>
      <c r="C161" s="53"/>
      <c r="D161" s="53"/>
    </row>
    <row r="162" ht="15.75" customHeight="1">
      <c r="B162" s="52"/>
      <c r="C162" s="53"/>
      <c r="D162" s="53"/>
    </row>
    <row r="163" ht="15.75" customHeight="1">
      <c r="B163" s="52"/>
      <c r="C163" s="53"/>
      <c r="D163" s="53"/>
    </row>
    <row r="164" ht="15.75" customHeight="1">
      <c r="B164" s="52"/>
      <c r="C164" s="53"/>
      <c r="D164" s="53"/>
    </row>
    <row r="165" ht="15.75" customHeight="1">
      <c r="B165" s="52"/>
      <c r="C165" s="53"/>
      <c r="D165" s="53"/>
    </row>
    <row r="166" ht="15.75" customHeight="1">
      <c r="B166" s="52"/>
      <c r="C166" s="53"/>
      <c r="D166" s="53"/>
    </row>
    <row r="167" ht="15.75" customHeight="1">
      <c r="B167" s="52"/>
      <c r="C167" s="53"/>
      <c r="D167" s="53"/>
    </row>
    <row r="168" ht="15.75" customHeight="1">
      <c r="B168" s="52"/>
      <c r="C168" s="53"/>
      <c r="D168" s="53"/>
    </row>
    <row r="169" ht="15.75" customHeight="1">
      <c r="B169" s="52"/>
      <c r="C169" s="53"/>
      <c r="D169" s="53"/>
    </row>
    <row r="170" ht="15.75" customHeight="1">
      <c r="B170" s="52"/>
      <c r="C170" s="53"/>
      <c r="D170" s="53"/>
    </row>
    <row r="171" ht="15.75" customHeight="1">
      <c r="B171" s="52"/>
      <c r="C171" s="53"/>
      <c r="D171" s="53"/>
    </row>
    <row r="172" ht="15.75" customHeight="1">
      <c r="B172" s="52"/>
      <c r="C172" s="53"/>
      <c r="D172" s="53"/>
    </row>
    <row r="173" ht="15.75" customHeight="1">
      <c r="B173" s="52"/>
      <c r="C173" s="53"/>
      <c r="D173" s="53"/>
    </row>
    <row r="174" ht="15.75" customHeight="1">
      <c r="B174" s="52"/>
      <c r="C174" s="53"/>
      <c r="D174" s="53"/>
    </row>
    <row r="175" ht="15.75" customHeight="1">
      <c r="B175" s="52"/>
      <c r="C175" s="53"/>
      <c r="D175" s="53"/>
    </row>
    <row r="176" ht="15.75" customHeight="1">
      <c r="B176" s="52"/>
      <c r="C176" s="53"/>
      <c r="D176" s="53"/>
    </row>
    <row r="177" ht="15.75" customHeight="1">
      <c r="B177" s="52"/>
      <c r="C177" s="53"/>
      <c r="D177" s="53"/>
    </row>
    <row r="178" ht="15.75" customHeight="1">
      <c r="B178" s="52"/>
      <c r="C178" s="53"/>
      <c r="D178" s="53"/>
    </row>
    <row r="179" ht="15.75" customHeight="1">
      <c r="B179" s="52"/>
      <c r="C179" s="53"/>
      <c r="D179" s="53"/>
    </row>
    <row r="180" ht="15.75" customHeight="1">
      <c r="B180" s="52"/>
      <c r="C180" s="53"/>
      <c r="D180" s="53"/>
    </row>
    <row r="181" ht="15.75" customHeight="1">
      <c r="B181" s="52"/>
      <c r="C181" s="53"/>
      <c r="D181" s="53"/>
    </row>
    <row r="182" ht="15.75" customHeight="1">
      <c r="B182" s="52"/>
      <c r="C182" s="53"/>
      <c r="D182" s="53"/>
    </row>
    <row r="183" ht="15.75" customHeight="1">
      <c r="B183" s="52"/>
      <c r="C183" s="53"/>
      <c r="D183" s="53"/>
    </row>
    <row r="184" ht="15.75" customHeight="1">
      <c r="B184" s="52"/>
      <c r="C184" s="53"/>
      <c r="D184" s="53"/>
    </row>
    <row r="185" ht="15.75" customHeight="1">
      <c r="B185" s="52"/>
      <c r="C185" s="53"/>
      <c r="D185" s="53"/>
    </row>
    <row r="186" ht="15.75" customHeight="1">
      <c r="B186" s="52"/>
      <c r="C186" s="53"/>
      <c r="D186" s="53"/>
    </row>
    <row r="187" ht="15.75" customHeight="1">
      <c r="B187" s="52"/>
      <c r="C187" s="53"/>
      <c r="D187" s="53"/>
    </row>
    <row r="188" ht="15.75" customHeight="1">
      <c r="B188" s="52"/>
      <c r="C188" s="53"/>
      <c r="D188" s="53"/>
    </row>
    <row r="189" ht="15.75" customHeight="1">
      <c r="B189" s="52"/>
      <c r="C189" s="53"/>
      <c r="D189" s="53"/>
    </row>
    <row r="190" ht="15.75" customHeight="1">
      <c r="B190" s="52"/>
      <c r="C190" s="53"/>
      <c r="D190" s="53"/>
    </row>
    <row r="191" ht="15.75" customHeight="1">
      <c r="B191" s="52"/>
      <c r="C191" s="53"/>
      <c r="D191" s="53"/>
    </row>
    <row r="192" ht="15.75" customHeight="1">
      <c r="B192" s="52"/>
      <c r="C192" s="53"/>
      <c r="D192" s="53"/>
    </row>
    <row r="193" ht="15.75" customHeight="1">
      <c r="B193" s="52"/>
      <c r="C193" s="53"/>
      <c r="D193" s="53"/>
    </row>
    <row r="194" ht="15.75" customHeight="1">
      <c r="B194" s="52"/>
      <c r="C194" s="53"/>
      <c r="D194" s="53"/>
    </row>
    <row r="195" ht="15.75" customHeight="1">
      <c r="B195" s="52"/>
      <c r="C195" s="53"/>
      <c r="D195" s="53"/>
    </row>
    <row r="196" ht="15.75" customHeight="1">
      <c r="B196" s="52"/>
      <c r="C196" s="53"/>
      <c r="D196" s="53"/>
    </row>
    <row r="197" ht="15.75" customHeight="1">
      <c r="B197" s="52"/>
      <c r="C197" s="53"/>
      <c r="D197" s="53"/>
    </row>
    <row r="198" ht="15.75" customHeight="1">
      <c r="B198" s="52"/>
      <c r="C198" s="53"/>
      <c r="D198" s="53"/>
    </row>
    <row r="199" ht="15.75" customHeight="1">
      <c r="B199" s="52"/>
      <c r="C199" s="53"/>
      <c r="D199" s="53"/>
    </row>
    <row r="200" ht="15.75" customHeight="1">
      <c r="B200" s="52"/>
      <c r="C200" s="53"/>
      <c r="D200" s="53"/>
    </row>
    <row r="201" ht="15.75" customHeight="1">
      <c r="B201" s="52"/>
      <c r="C201" s="53"/>
      <c r="D201" s="53"/>
    </row>
    <row r="202" ht="15.75" customHeight="1">
      <c r="B202" s="52"/>
      <c r="C202" s="53"/>
      <c r="D202" s="53"/>
    </row>
    <row r="203" ht="15.75" customHeight="1">
      <c r="B203" s="52"/>
      <c r="C203" s="53"/>
      <c r="D203" s="53"/>
    </row>
    <row r="204" ht="15.75" customHeight="1">
      <c r="B204" s="52"/>
      <c r="C204" s="53"/>
      <c r="D204" s="53"/>
    </row>
    <row r="205" ht="15.75" customHeight="1">
      <c r="B205" s="52"/>
      <c r="C205" s="53"/>
      <c r="D205" s="53"/>
    </row>
    <row r="206" ht="15.75" customHeight="1">
      <c r="B206" s="52"/>
      <c r="C206" s="53"/>
      <c r="D206" s="53"/>
    </row>
    <row r="207" ht="15.75" customHeight="1">
      <c r="B207" s="52"/>
      <c r="C207" s="53"/>
      <c r="D207" s="53"/>
    </row>
    <row r="208" ht="15.75" customHeight="1">
      <c r="B208" s="52"/>
      <c r="C208" s="53"/>
      <c r="D208" s="53"/>
    </row>
    <row r="209" ht="15.75" customHeight="1">
      <c r="B209" s="52"/>
      <c r="C209" s="53"/>
      <c r="D209" s="53"/>
    </row>
    <row r="210" ht="15.75" customHeight="1">
      <c r="B210" s="52"/>
      <c r="C210" s="53"/>
      <c r="D210" s="53"/>
    </row>
    <row r="211" ht="15.75" customHeight="1">
      <c r="B211" s="52"/>
      <c r="C211" s="53"/>
      <c r="D211" s="53"/>
    </row>
    <row r="212" ht="15.75" customHeight="1">
      <c r="B212" s="52"/>
      <c r="C212" s="53"/>
      <c r="D212" s="53"/>
    </row>
    <row r="213" ht="15.75" customHeight="1">
      <c r="B213" s="52"/>
      <c r="C213" s="53"/>
      <c r="D213" s="53"/>
    </row>
    <row r="214" ht="15.75" customHeight="1">
      <c r="B214" s="52"/>
      <c r="C214" s="53"/>
      <c r="D214" s="53"/>
    </row>
    <row r="215" ht="15.75" customHeight="1">
      <c r="B215" s="52"/>
      <c r="C215" s="53"/>
      <c r="D215" s="53"/>
    </row>
    <row r="216" ht="15.75" customHeight="1">
      <c r="B216" s="52"/>
      <c r="C216" s="53"/>
      <c r="D216" s="53"/>
    </row>
    <row r="217" ht="15.75" customHeight="1">
      <c r="B217" s="52"/>
      <c r="C217" s="53"/>
      <c r="D217" s="53"/>
    </row>
    <row r="218" ht="15.75" customHeight="1">
      <c r="B218" s="52"/>
      <c r="C218" s="53"/>
      <c r="D218" s="53"/>
    </row>
    <row r="219" ht="15.75" customHeight="1">
      <c r="B219" s="52"/>
      <c r="C219" s="53"/>
      <c r="D219" s="53"/>
    </row>
    <row r="220" ht="15.75" customHeight="1">
      <c r="B220" s="52"/>
      <c r="C220" s="53"/>
      <c r="D220" s="53"/>
    </row>
    <row r="221" ht="15.75" customHeight="1">
      <c r="B221" s="52"/>
      <c r="C221" s="53"/>
      <c r="D221" s="53"/>
    </row>
    <row r="222" ht="15.75" customHeight="1">
      <c r="B222" s="52"/>
      <c r="C222" s="53"/>
      <c r="D222" s="53"/>
    </row>
    <row r="223" ht="15.75" customHeight="1">
      <c r="B223" s="52"/>
      <c r="C223" s="53"/>
      <c r="D223" s="53"/>
    </row>
    <row r="224" ht="15.75" customHeight="1">
      <c r="B224" s="52"/>
      <c r="C224" s="53"/>
      <c r="D224" s="53"/>
    </row>
    <row r="225" ht="15.75" customHeight="1">
      <c r="B225" s="52"/>
      <c r="C225" s="53"/>
      <c r="D225" s="53"/>
    </row>
    <row r="226" ht="15.75" customHeight="1">
      <c r="B226" s="52"/>
      <c r="C226" s="53"/>
      <c r="D226" s="53"/>
    </row>
    <row r="227" ht="15.75" customHeight="1">
      <c r="B227" s="52"/>
      <c r="C227" s="53"/>
      <c r="D227" s="53"/>
    </row>
    <row r="228" ht="15.75" customHeight="1">
      <c r="B228" s="52"/>
      <c r="C228" s="53"/>
      <c r="D228" s="53"/>
    </row>
    <row r="229" ht="15.75" customHeight="1">
      <c r="B229" s="52"/>
      <c r="C229" s="53"/>
      <c r="D229" s="53"/>
    </row>
    <row r="230" ht="15.75" customHeight="1">
      <c r="B230" s="52"/>
      <c r="C230" s="53"/>
      <c r="D230" s="53"/>
    </row>
    <row r="231" ht="15.75" customHeight="1">
      <c r="B231" s="52"/>
      <c r="C231" s="53"/>
      <c r="D231" s="53"/>
    </row>
    <row r="232" ht="15.75" customHeight="1">
      <c r="B232" s="52"/>
      <c r="C232" s="53"/>
      <c r="D232" s="53"/>
    </row>
    <row r="233" ht="15.75" customHeight="1">
      <c r="B233" s="52"/>
      <c r="C233" s="53"/>
      <c r="D233" s="53"/>
    </row>
    <row r="234" ht="15.75" customHeight="1">
      <c r="B234" s="52"/>
      <c r="C234" s="53"/>
      <c r="D234" s="53"/>
    </row>
    <row r="235" ht="15.75" customHeight="1">
      <c r="B235" s="52"/>
      <c r="C235" s="53"/>
      <c r="D235" s="53"/>
    </row>
    <row r="236" ht="15.75" customHeight="1">
      <c r="B236" s="52"/>
      <c r="C236" s="53"/>
      <c r="D236" s="53"/>
    </row>
    <row r="237" ht="15.75" customHeight="1">
      <c r="B237" s="52"/>
      <c r="C237" s="53"/>
      <c r="D237" s="53"/>
    </row>
    <row r="238" ht="15.75" customHeight="1">
      <c r="B238" s="52"/>
      <c r="C238" s="53"/>
      <c r="D238" s="53"/>
    </row>
    <row r="239" ht="15.75" customHeight="1">
      <c r="B239" s="52"/>
      <c r="C239" s="53"/>
      <c r="D239" s="53"/>
    </row>
    <row r="240" ht="15.75" customHeight="1">
      <c r="B240" s="52"/>
      <c r="C240" s="53"/>
      <c r="D240" s="53"/>
    </row>
    <row r="241" ht="15.75" customHeight="1">
      <c r="B241" s="52"/>
      <c r="C241" s="53"/>
      <c r="D241" s="53"/>
    </row>
    <row r="242" ht="15.75" customHeight="1">
      <c r="B242" s="52"/>
      <c r="C242" s="53"/>
      <c r="D242" s="53"/>
    </row>
    <row r="243" ht="15.75" customHeight="1">
      <c r="B243" s="52"/>
      <c r="C243" s="53"/>
      <c r="D243" s="53"/>
    </row>
    <row r="244" ht="15.75" customHeight="1">
      <c r="B244" s="52"/>
      <c r="C244" s="53"/>
      <c r="D244" s="53"/>
    </row>
    <row r="245" ht="15.75" customHeight="1">
      <c r="B245" s="52"/>
      <c r="C245" s="53"/>
      <c r="D245" s="53"/>
    </row>
    <row r="246" ht="15.75" customHeight="1">
      <c r="B246" s="52"/>
      <c r="C246" s="53"/>
      <c r="D246" s="53"/>
    </row>
    <row r="247" ht="15.75" customHeight="1">
      <c r="B247" s="52"/>
      <c r="C247" s="53"/>
      <c r="D247" s="53"/>
    </row>
    <row r="248" ht="15.75" customHeight="1">
      <c r="B248" s="52"/>
      <c r="C248" s="53"/>
      <c r="D248" s="53"/>
    </row>
    <row r="249" ht="15.75" customHeight="1">
      <c r="B249" s="52"/>
      <c r="C249" s="53"/>
      <c r="D249" s="53"/>
    </row>
    <row r="250" ht="15.75" customHeight="1">
      <c r="B250" s="52"/>
      <c r="C250" s="53"/>
      <c r="D250" s="53"/>
    </row>
    <row r="251" ht="15.75" customHeight="1">
      <c r="B251" s="52"/>
      <c r="C251" s="53"/>
      <c r="D251" s="53"/>
    </row>
    <row r="252" ht="15.75" customHeight="1">
      <c r="B252" s="52"/>
      <c r="C252" s="53"/>
      <c r="D252" s="53"/>
    </row>
    <row r="253" ht="15.75" customHeight="1">
      <c r="B253" s="52"/>
      <c r="C253" s="53"/>
      <c r="D253" s="53"/>
    </row>
    <row r="254" ht="15.75" customHeight="1">
      <c r="B254" s="52"/>
      <c r="C254" s="53"/>
      <c r="D254" s="53"/>
    </row>
    <row r="255" ht="15.75" customHeight="1">
      <c r="B255" s="52"/>
      <c r="C255" s="53"/>
      <c r="D255" s="53"/>
    </row>
    <row r="256" ht="15.75" customHeight="1">
      <c r="B256" s="52"/>
      <c r="C256" s="53"/>
      <c r="D256" s="53"/>
    </row>
    <row r="257" ht="15.75" customHeight="1">
      <c r="B257" s="52"/>
      <c r="C257" s="53"/>
      <c r="D257" s="53"/>
    </row>
    <row r="258" ht="15.75" customHeight="1">
      <c r="B258" s="52"/>
      <c r="C258" s="53"/>
      <c r="D258" s="53"/>
    </row>
    <row r="259" ht="15.75" customHeight="1">
      <c r="B259" s="52"/>
      <c r="C259" s="53"/>
      <c r="D259" s="53"/>
    </row>
    <row r="260" ht="15.75" customHeight="1">
      <c r="B260" s="52"/>
      <c r="C260" s="53"/>
      <c r="D260" s="53"/>
    </row>
    <row r="261" ht="15.75" customHeight="1">
      <c r="B261" s="52"/>
      <c r="C261" s="53"/>
      <c r="D261" s="53"/>
    </row>
    <row r="262" ht="15.75" customHeight="1">
      <c r="B262" s="52"/>
      <c r="C262" s="53"/>
      <c r="D262" s="53"/>
    </row>
    <row r="263" ht="15.75" customHeight="1">
      <c r="B263" s="52"/>
      <c r="C263" s="53"/>
      <c r="D263" s="53"/>
    </row>
    <row r="264" ht="15.75" customHeight="1">
      <c r="B264" s="52"/>
      <c r="C264" s="53"/>
      <c r="D264" s="53"/>
    </row>
    <row r="265" ht="15.75" customHeight="1">
      <c r="B265" s="52"/>
      <c r="C265" s="53"/>
      <c r="D265" s="53"/>
    </row>
    <row r="266" ht="15.75" customHeight="1">
      <c r="B266" s="52"/>
      <c r="C266" s="53"/>
      <c r="D266" s="53"/>
    </row>
    <row r="267" ht="15.75" customHeight="1">
      <c r="B267" s="52"/>
      <c r="C267" s="53"/>
      <c r="D267" s="53"/>
    </row>
    <row r="268" ht="15.75" customHeight="1">
      <c r="B268" s="52"/>
      <c r="C268" s="53"/>
      <c r="D268" s="53"/>
    </row>
    <row r="269" ht="15.75" customHeight="1">
      <c r="B269" s="52"/>
      <c r="C269" s="53"/>
      <c r="D269" s="53"/>
    </row>
    <row r="270" ht="15.75" customHeight="1">
      <c r="B270" s="52"/>
      <c r="C270" s="53"/>
      <c r="D270" s="53"/>
    </row>
    <row r="271" ht="15.75" customHeight="1">
      <c r="B271" s="52"/>
      <c r="C271" s="53"/>
      <c r="D271" s="53"/>
    </row>
    <row r="272" ht="15.75" customHeight="1">
      <c r="B272" s="52"/>
      <c r="C272" s="53"/>
      <c r="D272" s="53"/>
    </row>
    <row r="273" ht="15.75" customHeight="1">
      <c r="B273" s="52"/>
      <c r="C273" s="53"/>
      <c r="D273" s="53"/>
    </row>
    <row r="274" ht="15.75" customHeight="1">
      <c r="B274" s="52"/>
      <c r="C274" s="53"/>
      <c r="D274" s="53"/>
    </row>
    <row r="275" ht="15.75" customHeight="1">
      <c r="B275" s="52"/>
      <c r="C275" s="53"/>
      <c r="D275" s="53"/>
    </row>
    <row r="276" ht="15.75" customHeight="1">
      <c r="B276" s="52"/>
      <c r="C276" s="53"/>
      <c r="D276" s="53"/>
    </row>
    <row r="277" ht="15.75" customHeight="1">
      <c r="B277" s="52"/>
      <c r="C277" s="53"/>
      <c r="D277" s="53"/>
    </row>
    <row r="278" ht="15.75" customHeight="1">
      <c r="B278" s="52"/>
      <c r="C278" s="53"/>
      <c r="D278" s="53"/>
    </row>
    <row r="279" ht="15.75" customHeight="1">
      <c r="B279" s="52"/>
      <c r="C279" s="53"/>
      <c r="D279" s="53"/>
    </row>
    <row r="280" ht="15.75" customHeight="1">
      <c r="B280" s="52"/>
      <c r="C280" s="53"/>
      <c r="D280" s="53"/>
    </row>
    <row r="281" ht="15.75" customHeight="1">
      <c r="B281" s="52"/>
      <c r="C281" s="53"/>
      <c r="D281" s="53"/>
    </row>
    <row r="282" ht="15.75" customHeight="1">
      <c r="B282" s="52"/>
      <c r="C282" s="53"/>
      <c r="D282" s="53"/>
    </row>
    <row r="283" ht="15.75" customHeight="1">
      <c r="B283" s="52"/>
      <c r="C283" s="53"/>
      <c r="D283" s="53"/>
    </row>
    <row r="284" ht="15.75" customHeight="1">
      <c r="B284" s="52"/>
      <c r="C284" s="53"/>
      <c r="D284" s="53"/>
    </row>
    <row r="285" ht="15.75" customHeight="1">
      <c r="B285" s="52"/>
      <c r="C285" s="53"/>
      <c r="D285" s="53"/>
    </row>
    <row r="286" ht="15.75" customHeight="1">
      <c r="B286" s="52"/>
      <c r="C286" s="53"/>
      <c r="D286" s="53"/>
    </row>
    <row r="287" ht="15.75" customHeight="1">
      <c r="B287" s="52"/>
      <c r="C287" s="53"/>
      <c r="D287" s="53"/>
    </row>
    <row r="288" ht="15.75" customHeight="1">
      <c r="B288" s="52"/>
      <c r="C288" s="53"/>
      <c r="D288" s="53"/>
    </row>
    <row r="289" ht="15.75" customHeight="1">
      <c r="B289" s="52"/>
      <c r="C289" s="53"/>
      <c r="D289" s="53"/>
    </row>
    <row r="290" ht="15.75" customHeight="1">
      <c r="B290" s="52"/>
      <c r="C290" s="53"/>
      <c r="D290" s="53"/>
    </row>
    <row r="291" ht="15.75" customHeight="1">
      <c r="B291" s="52"/>
      <c r="C291" s="53"/>
      <c r="D291" s="53"/>
    </row>
    <row r="292" ht="15.75" customHeight="1">
      <c r="B292" s="52"/>
      <c r="C292" s="53"/>
      <c r="D292" s="53"/>
    </row>
    <row r="293" ht="15.75" customHeight="1">
      <c r="B293" s="52"/>
      <c r="C293" s="53"/>
      <c r="D293" s="53"/>
    </row>
    <row r="294" ht="15.75" customHeight="1">
      <c r="B294" s="52"/>
      <c r="C294" s="53"/>
      <c r="D294" s="53"/>
    </row>
    <row r="295" ht="15.75" customHeight="1">
      <c r="B295" s="52"/>
      <c r="C295" s="53"/>
      <c r="D295" s="53"/>
    </row>
    <row r="296" ht="15.75" customHeight="1">
      <c r="B296" s="52"/>
      <c r="C296" s="53"/>
      <c r="D296" s="53"/>
    </row>
    <row r="297" ht="15.75" customHeight="1">
      <c r="B297" s="52"/>
      <c r="C297" s="53"/>
      <c r="D297" s="53"/>
    </row>
    <row r="298" ht="15.75" customHeight="1">
      <c r="B298" s="52"/>
      <c r="C298" s="53"/>
      <c r="D298" s="53"/>
    </row>
    <row r="299" ht="15.75" customHeight="1">
      <c r="B299" s="52"/>
      <c r="C299" s="53"/>
      <c r="D299" s="53"/>
    </row>
    <row r="300" ht="15.75" customHeight="1">
      <c r="B300" s="52"/>
      <c r="C300" s="53"/>
      <c r="D300" s="53"/>
    </row>
    <row r="301" ht="15.75" customHeight="1">
      <c r="B301" s="52"/>
      <c r="C301" s="53"/>
      <c r="D301" s="53"/>
    </row>
    <row r="302" ht="15.75" customHeight="1">
      <c r="B302" s="52"/>
      <c r="C302" s="53"/>
      <c r="D302" s="53"/>
    </row>
    <row r="303" ht="15.75" customHeight="1">
      <c r="B303" s="52"/>
      <c r="C303" s="53"/>
      <c r="D303" s="53"/>
    </row>
    <row r="304" ht="15.75" customHeight="1">
      <c r="B304" s="52"/>
      <c r="C304" s="53"/>
      <c r="D304" s="53"/>
    </row>
    <row r="305" ht="15.75" customHeight="1">
      <c r="B305" s="52"/>
      <c r="C305" s="53"/>
      <c r="D305" s="53"/>
    </row>
    <row r="306" ht="15.75" customHeight="1">
      <c r="B306" s="52"/>
      <c r="C306" s="53"/>
      <c r="D306" s="53"/>
    </row>
    <row r="307" ht="15.75" customHeight="1">
      <c r="B307" s="52"/>
      <c r="C307" s="53"/>
      <c r="D307" s="53"/>
    </row>
    <row r="308" ht="15.75" customHeight="1">
      <c r="B308" s="52"/>
      <c r="C308" s="53"/>
      <c r="D308" s="53"/>
    </row>
    <row r="309" ht="15.75" customHeight="1">
      <c r="B309" s="52"/>
      <c r="C309" s="53"/>
      <c r="D309" s="53"/>
    </row>
    <row r="310" ht="15.75" customHeight="1">
      <c r="B310" s="52"/>
      <c r="C310" s="53"/>
      <c r="D310" s="53"/>
    </row>
    <row r="311" ht="15.75" customHeight="1">
      <c r="B311" s="52"/>
      <c r="C311" s="53"/>
      <c r="D311" s="53"/>
    </row>
    <row r="312" ht="15.75" customHeight="1">
      <c r="B312" s="52"/>
      <c r="C312" s="53"/>
      <c r="D312" s="53"/>
    </row>
    <row r="313" ht="15.75" customHeight="1">
      <c r="B313" s="52"/>
      <c r="C313" s="53"/>
      <c r="D313" s="53"/>
    </row>
    <row r="314" ht="15.75" customHeight="1">
      <c r="B314" s="52"/>
      <c r="C314" s="53"/>
      <c r="D314" s="53"/>
    </row>
    <row r="315" ht="15.75" customHeight="1">
      <c r="B315" s="52"/>
      <c r="C315" s="53"/>
      <c r="D315" s="53"/>
    </row>
    <row r="316" ht="15.75" customHeight="1">
      <c r="B316" s="52"/>
      <c r="C316" s="53"/>
      <c r="D316" s="53"/>
    </row>
    <row r="317" ht="15.75" customHeight="1">
      <c r="B317" s="52"/>
      <c r="C317" s="53"/>
      <c r="D317" s="53"/>
    </row>
    <row r="318" ht="15.75" customHeight="1">
      <c r="B318" s="52"/>
      <c r="C318" s="53"/>
      <c r="D318" s="53"/>
    </row>
    <row r="319" ht="15.75" customHeight="1">
      <c r="B319" s="52"/>
      <c r="C319" s="53"/>
      <c r="D319" s="53"/>
    </row>
    <row r="320" ht="15.75" customHeight="1">
      <c r="B320" s="52"/>
      <c r="C320" s="53"/>
      <c r="D320" s="53"/>
    </row>
    <row r="321" ht="15.75" customHeight="1">
      <c r="B321" s="52"/>
      <c r="C321" s="53"/>
      <c r="D321" s="53"/>
    </row>
    <row r="322" ht="15.75" customHeight="1">
      <c r="B322" s="52"/>
      <c r="C322" s="53"/>
      <c r="D322" s="53"/>
    </row>
    <row r="323" ht="15.75" customHeight="1">
      <c r="B323" s="52"/>
      <c r="C323" s="53"/>
      <c r="D323" s="53"/>
    </row>
    <row r="324" ht="15.75" customHeight="1">
      <c r="B324" s="52"/>
      <c r="C324" s="53"/>
      <c r="D324" s="53"/>
    </row>
    <row r="325" ht="15.75" customHeight="1">
      <c r="B325" s="52"/>
      <c r="C325" s="53"/>
      <c r="D325" s="53"/>
    </row>
    <row r="326" ht="15.75" customHeight="1">
      <c r="B326" s="52"/>
      <c r="C326" s="53"/>
      <c r="D326" s="53"/>
    </row>
    <row r="327" ht="15.75" customHeight="1">
      <c r="B327" s="52"/>
      <c r="C327" s="53"/>
      <c r="D327" s="53"/>
    </row>
    <row r="328" ht="15.75" customHeight="1">
      <c r="B328" s="52"/>
      <c r="C328" s="53"/>
      <c r="D328" s="53"/>
    </row>
    <row r="329" ht="15.75" customHeight="1">
      <c r="B329" s="52"/>
      <c r="C329" s="53"/>
      <c r="D329" s="53"/>
    </row>
    <row r="330" ht="15.75" customHeight="1">
      <c r="B330" s="52"/>
      <c r="C330" s="53"/>
      <c r="D330" s="53"/>
    </row>
    <row r="331" ht="15.75" customHeight="1">
      <c r="B331" s="52"/>
      <c r="C331" s="53"/>
      <c r="D331" s="53"/>
    </row>
    <row r="332" ht="15.75" customHeight="1">
      <c r="B332" s="52"/>
      <c r="C332" s="53"/>
      <c r="D332" s="53"/>
    </row>
    <row r="333" ht="15.75" customHeight="1">
      <c r="B333" s="52"/>
      <c r="C333" s="53"/>
      <c r="D333" s="53"/>
    </row>
    <row r="334" ht="15.75" customHeight="1">
      <c r="B334" s="52"/>
      <c r="C334" s="53"/>
      <c r="D334" s="53"/>
    </row>
    <row r="335" ht="15.75" customHeight="1">
      <c r="B335" s="52"/>
      <c r="C335" s="53"/>
      <c r="D335" s="53"/>
    </row>
    <row r="336" ht="15.75" customHeight="1">
      <c r="B336" s="52"/>
      <c r="C336" s="53"/>
      <c r="D336" s="53"/>
    </row>
    <row r="337" ht="15.75" customHeight="1">
      <c r="B337" s="52"/>
      <c r="C337" s="53"/>
      <c r="D337" s="53"/>
    </row>
    <row r="338" ht="15.75" customHeight="1">
      <c r="B338" s="52"/>
      <c r="C338" s="53"/>
      <c r="D338" s="53"/>
    </row>
    <row r="339" ht="15.75" customHeight="1">
      <c r="B339" s="52"/>
      <c r="C339" s="53"/>
      <c r="D339" s="53"/>
    </row>
    <row r="340" ht="15.75" customHeight="1">
      <c r="B340" s="52"/>
      <c r="C340" s="53"/>
      <c r="D340" s="53"/>
    </row>
    <row r="341" ht="15.75" customHeight="1">
      <c r="B341" s="52"/>
      <c r="C341" s="53"/>
      <c r="D341" s="53"/>
    </row>
    <row r="342" ht="15.75" customHeight="1">
      <c r="B342" s="52"/>
      <c r="C342" s="53"/>
      <c r="D342" s="53"/>
    </row>
    <row r="343" ht="15.75" customHeight="1">
      <c r="B343" s="52"/>
      <c r="C343" s="53"/>
      <c r="D343" s="53"/>
    </row>
    <row r="344" ht="15.75" customHeight="1">
      <c r="B344" s="52"/>
      <c r="C344" s="53"/>
      <c r="D344" s="53"/>
    </row>
    <row r="345" ht="15.75" customHeight="1">
      <c r="B345" s="52"/>
      <c r="C345" s="53"/>
      <c r="D345" s="53"/>
    </row>
    <row r="346" ht="15.75" customHeight="1">
      <c r="B346" s="52"/>
      <c r="C346" s="53"/>
      <c r="D346" s="53"/>
    </row>
    <row r="347" ht="15.75" customHeight="1">
      <c r="B347" s="52"/>
      <c r="C347" s="53"/>
      <c r="D347" s="53"/>
    </row>
    <row r="348" ht="15.75" customHeight="1">
      <c r="B348" s="52"/>
      <c r="C348" s="53"/>
      <c r="D348" s="53"/>
    </row>
    <row r="349" ht="15.75" customHeight="1">
      <c r="B349" s="52"/>
      <c r="C349" s="53"/>
      <c r="D349" s="53"/>
    </row>
    <row r="350" ht="15.75" customHeight="1">
      <c r="B350" s="52"/>
      <c r="C350" s="53"/>
      <c r="D350" s="53"/>
    </row>
    <row r="351" ht="15.75" customHeight="1">
      <c r="B351" s="52"/>
      <c r="C351" s="53"/>
      <c r="D351" s="53"/>
    </row>
    <row r="352" ht="15.75" customHeight="1">
      <c r="B352" s="52"/>
      <c r="C352" s="53"/>
      <c r="D352" s="53"/>
    </row>
    <row r="353" ht="15.75" customHeight="1">
      <c r="B353" s="52"/>
      <c r="C353" s="53"/>
      <c r="D353" s="53"/>
    </row>
    <row r="354" ht="15.75" customHeight="1">
      <c r="B354" s="52"/>
      <c r="C354" s="53"/>
      <c r="D354" s="53"/>
    </row>
    <row r="355" ht="15.75" customHeight="1">
      <c r="B355" s="52"/>
      <c r="C355" s="53"/>
      <c r="D355" s="53"/>
    </row>
    <row r="356" ht="15.75" customHeight="1">
      <c r="B356" s="52"/>
      <c r="C356" s="53"/>
      <c r="D356" s="53"/>
    </row>
    <row r="357" ht="15.75" customHeight="1">
      <c r="B357" s="52"/>
      <c r="C357" s="53"/>
      <c r="D357" s="53"/>
    </row>
    <row r="358" ht="15.75" customHeight="1">
      <c r="B358" s="52"/>
      <c r="C358" s="53"/>
      <c r="D358" s="53"/>
    </row>
    <row r="359" ht="15.75" customHeight="1">
      <c r="B359" s="52"/>
      <c r="C359" s="53"/>
      <c r="D359" s="53"/>
    </row>
    <row r="360" ht="15.75" customHeight="1">
      <c r="B360" s="52"/>
      <c r="C360" s="53"/>
      <c r="D360" s="53"/>
    </row>
    <row r="361" ht="15.75" customHeight="1">
      <c r="B361" s="52"/>
      <c r="C361" s="53"/>
      <c r="D361" s="53"/>
    </row>
    <row r="362" ht="15.75" customHeight="1">
      <c r="B362" s="52"/>
      <c r="C362" s="53"/>
      <c r="D362" s="53"/>
    </row>
    <row r="363" ht="15.75" customHeight="1">
      <c r="B363" s="52"/>
      <c r="C363" s="53"/>
      <c r="D363" s="53"/>
    </row>
    <row r="364" ht="15.75" customHeight="1">
      <c r="B364" s="52"/>
      <c r="C364" s="53"/>
      <c r="D364" s="53"/>
    </row>
    <row r="365" ht="15.75" customHeight="1">
      <c r="B365" s="52"/>
      <c r="C365" s="53"/>
      <c r="D365" s="53"/>
    </row>
    <row r="366" ht="15.75" customHeight="1">
      <c r="B366" s="52"/>
      <c r="C366" s="53"/>
      <c r="D366" s="53"/>
    </row>
    <row r="367" ht="15.75" customHeight="1">
      <c r="B367" s="52"/>
      <c r="C367" s="53"/>
      <c r="D367" s="53"/>
    </row>
    <row r="368" ht="15.75" customHeight="1">
      <c r="B368" s="52"/>
      <c r="C368" s="53"/>
      <c r="D368" s="53"/>
    </row>
    <row r="369" ht="15.75" customHeight="1">
      <c r="B369" s="52"/>
      <c r="C369" s="53"/>
      <c r="D369" s="53"/>
    </row>
    <row r="370" ht="15.75" customHeight="1">
      <c r="B370" s="52"/>
      <c r="C370" s="53"/>
      <c r="D370" s="53"/>
    </row>
    <row r="371" ht="15.75" customHeight="1">
      <c r="B371" s="52"/>
      <c r="C371" s="53"/>
      <c r="D371" s="53"/>
    </row>
    <row r="372" ht="15.75" customHeight="1">
      <c r="B372" s="52"/>
      <c r="C372" s="53"/>
      <c r="D372" s="53"/>
    </row>
    <row r="373" ht="15.75" customHeight="1">
      <c r="B373" s="52"/>
      <c r="C373" s="53"/>
      <c r="D373" s="53"/>
    </row>
    <row r="374" ht="15.75" customHeight="1">
      <c r="B374" s="52"/>
      <c r="C374" s="53"/>
      <c r="D374" s="53"/>
    </row>
    <row r="375" ht="15.75" customHeight="1">
      <c r="B375" s="52"/>
      <c r="C375" s="53"/>
      <c r="D375" s="53"/>
    </row>
    <row r="376" ht="15.75" customHeight="1">
      <c r="B376" s="52"/>
      <c r="C376" s="53"/>
      <c r="D376" s="53"/>
    </row>
    <row r="377" ht="15.75" customHeight="1">
      <c r="B377" s="52"/>
      <c r="C377" s="53"/>
      <c r="D377" s="53"/>
    </row>
    <row r="378" ht="15.75" customHeight="1">
      <c r="B378" s="52"/>
      <c r="C378" s="53"/>
      <c r="D378" s="53"/>
    </row>
    <row r="379" ht="15.75" customHeight="1">
      <c r="B379" s="52"/>
      <c r="C379" s="53"/>
      <c r="D379" s="53"/>
    </row>
    <row r="380" ht="15.75" customHeight="1">
      <c r="B380" s="52"/>
      <c r="C380" s="53"/>
      <c r="D380" s="53"/>
    </row>
    <row r="381" ht="15.75" customHeight="1">
      <c r="B381" s="52"/>
      <c r="C381" s="53"/>
      <c r="D381" s="53"/>
    </row>
    <row r="382" ht="15.75" customHeight="1">
      <c r="B382" s="52"/>
      <c r="C382" s="53"/>
      <c r="D382" s="53"/>
    </row>
    <row r="383" ht="15.75" customHeight="1">
      <c r="B383" s="52"/>
      <c r="C383" s="53"/>
      <c r="D383" s="53"/>
    </row>
    <row r="384" ht="15.75" customHeight="1">
      <c r="B384" s="52"/>
      <c r="C384" s="53"/>
      <c r="D384" s="53"/>
    </row>
    <row r="385" ht="15.75" customHeight="1">
      <c r="B385" s="52"/>
      <c r="C385" s="53"/>
      <c r="D385" s="53"/>
    </row>
    <row r="386" ht="15.75" customHeight="1">
      <c r="B386" s="52"/>
      <c r="C386" s="53"/>
      <c r="D386" s="53"/>
    </row>
    <row r="387" ht="15.75" customHeight="1">
      <c r="B387" s="52"/>
      <c r="C387" s="53"/>
      <c r="D387" s="53"/>
    </row>
    <row r="388" ht="15.75" customHeight="1">
      <c r="B388" s="52"/>
      <c r="C388" s="53"/>
      <c r="D388" s="53"/>
    </row>
    <row r="389" ht="15.75" customHeight="1">
      <c r="B389" s="52"/>
      <c r="C389" s="53"/>
      <c r="D389" s="53"/>
    </row>
    <row r="390" ht="15.75" customHeight="1">
      <c r="B390" s="52"/>
      <c r="C390" s="53"/>
      <c r="D390" s="53"/>
    </row>
    <row r="391" ht="15.75" customHeight="1">
      <c r="B391" s="52"/>
      <c r="C391" s="53"/>
      <c r="D391" s="53"/>
    </row>
    <row r="392" ht="15.75" customHeight="1">
      <c r="B392" s="52"/>
      <c r="C392" s="53"/>
      <c r="D392" s="53"/>
    </row>
    <row r="393" ht="15.75" customHeight="1">
      <c r="B393" s="52"/>
      <c r="C393" s="53"/>
      <c r="D393" s="53"/>
    </row>
    <row r="394" ht="15.75" customHeight="1">
      <c r="B394" s="52"/>
      <c r="C394" s="53"/>
      <c r="D394" s="53"/>
    </row>
    <row r="395" ht="15.75" customHeight="1">
      <c r="B395" s="52"/>
      <c r="C395" s="53"/>
      <c r="D395" s="53"/>
    </row>
    <row r="396" ht="15.75" customHeight="1">
      <c r="B396" s="52"/>
      <c r="C396" s="53"/>
      <c r="D396" s="53"/>
    </row>
    <row r="397" ht="15.75" customHeight="1">
      <c r="B397" s="52"/>
      <c r="C397" s="53"/>
      <c r="D397" s="53"/>
    </row>
    <row r="398" ht="15.75" customHeight="1">
      <c r="B398" s="52"/>
      <c r="C398" s="53"/>
      <c r="D398" s="53"/>
    </row>
    <row r="399" ht="15.75" customHeight="1">
      <c r="B399" s="52"/>
      <c r="C399" s="53"/>
      <c r="D399" s="53"/>
    </row>
    <row r="400" ht="15.75" customHeight="1">
      <c r="B400" s="52"/>
      <c r="C400" s="53"/>
      <c r="D400" s="53"/>
    </row>
    <row r="401" ht="15.75" customHeight="1">
      <c r="B401" s="52"/>
      <c r="C401" s="53"/>
      <c r="D401" s="53"/>
    </row>
    <row r="402" ht="15.75" customHeight="1">
      <c r="B402" s="52"/>
      <c r="C402" s="53"/>
      <c r="D402" s="53"/>
    </row>
    <row r="403" ht="15.75" customHeight="1">
      <c r="B403" s="52"/>
      <c r="C403" s="53"/>
      <c r="D403" s="53"/>
    </row>
    <row r="404" ht="15.75" customHeight="1">
      <c r="B404" s="52"/>
      <c r="C404" s="53"/>
      <c r="D404" s="53"/>
    </row>
    <row r="405" ht="15.75" customHeight="1">
      <c r="B405" s="52"/>
      <c r="C405" s="53"/>
      <c r="D405" s="53"/>
    </row>
    <row r="406" ht="15.75" customHeight="1">
      <c r="B406" s="52"/>
      <c r="C406" s="53"/>
      <c r="D406" s="53"/>
    </row>
    <row r="407" ht="15.75" customHeight="1">
      <c r="B407" s="52"/>
      <c r="C407" s="53"/>
      <c r="D407" s="53"/>
    </row>
    <row r="408" ht="15.75" customHeight="1">
      <c r="B408" s="52"/>
      <c r="C408" s="53"/>
      <c r="D408" s="53"/>
    </row>
    <row r="409" ht="15.75" customHeight="1">
      <c r="B409" s="52"/>
      <c r="C409" s="53"/>
      <c r="D409" s="53"/>
    </row>
    <row r="410" ht="15.75" customHeight="1">
      <c r="B410" s="52"/>
      <c r="C410" s="53"/>
      <c r="D410" s="53"/>
    </row>
    <row r="411" ht="15.75" customHeight="1">
      <c r="B411" s="52"/>
      <c r="C411" s="53"/>
      <c r="D411" s="53"/>
    </row>
    <row r="412" ht="15.75" customHeight="1">
      <c r="B412" s="52"/>
      <c r="C412" s="53"/>
      <c r="D412" s="53"/>
    </row>
    <row r="413" ht="15.75" customHeight="1">
      <c r="B413" s="52"/>
      <c r="C413" s="53"/>
      <c r="D413" s="53"/>
    </row>
    <row r="414" ht="15.75" customHeight="1">
      <c r="B414" s="52"/>
      <c r="C414" s="53"/>
      <c r="D414" s="53"/>
    </row>
    <row r="415" ht="15.75" customHeight="1">
      <c r="B415" s="52"/>
      <c r="C415" s="53"/>
      <c r="D415" s="53"/>
    </row>
    <row r="416" ht="15.75" customHeight="1">
      <c r="B416" s="52"/>
      <c r="C416" s="53"/>
      <c r="D416" s="53"/>
    </row>
    <row r="417" ht="15.75" customHeight="1">
      <c r="B417" s="52"/>
      <c r="C417" s="53"/>
      <c r="D417" s="53"/>
    </row>
    <row r="418" ht="15.75" customHeight="1">
      <c r="B418" s="52"/>
      <c r="C418" s="53"/>
      <c r="D418" s="53"/>
    </row>
    <row r="419" ht="15.75" customHeight="1">
      <c r="B419" s="52"/>
      <c r="C419" s="53"/>
      <c r="D419" s="53"/>
    </row>
    <row r="420" ht="15.75" customHeight="1">
      <c r="B420" s="52"/>
      <c r="C420" s="53"/>
      <c r="D420" s="53"/>
    </row>
    <row r="421" ht="15.75" customHeight="1">
      <c r="B421" s="52"/>
      <c r="C421" s="53"/>
      <c r="D421" s="53"/>
    </row>
    <row r="422" ht="15.75" customHeight="1">
      <c r="B422" s="52"/>
      <c r="C422" s="53"/>
      <c r="D422" s="53"/>
    </row>
    <row r="423" ht="15.75" customHeight="1">
      <c r="B423" s="52"/>
      <c r="C423" s="53"/>
      <c r="D423" s="53"/>
    </row>
    <row r="424" ht="15.75" customHeight="1">
      <c r="B424" s="52"/>
      <c r="C424" s="53"/>
      <c r="D424" s="53"/>
    </row>
    <row r="425" ht="15.75" customHeight="1">
      <c r="B425" s="52"/>
      <c r="C425" s="53"/>
      <c r="D425" s="53"/>
    </row>
    <row r="426" ht="15.75" customHeight="1">
      <c r="B426" s="52"/>
      <c r="C426" s="53"/>
      <c r="D426" s="53"/>
    </row>
    <row r="427" ht="15.75" customHeight="1">
      <c r="B427" s="52"/>
      <c r="C427" s="53"/>
      <c r="D427" s="53"/>
    </row>
    <row r="428" ht="15.75" customHeight="1">
      <c r="B428" s="52"/>
      <c r="C428" s="53"/>
      <c r="D428" s="53"/>
    </row>
    <row r="429" ht="15.75" customHeight="1">
      <c r="B429" s="52"/>
      <c r="C429" s="53"/>
      <c r="D429" s="53"/>
    </row>
    <row r="430" ht="15.75" customHeight="1">
      <c r="B430" s="52"/>
      <c r="C430" s="53"/>
      <c r="D430" s="53"/>
    </row>
    <row r="431" ht="15.75" customHeight="1">
      <c r="B431" s="52"/>
      <c r="C431" s="53"/>
      <c r="D431" s="53"/>
    </row>
    <row r="432" ht="15.75" customHeight="1">
      <c r="B432" s="52"/>
      <c r="C432" s="53"/>
      <c r="D432" s="53"/>
    </row>
    <row r="433" ht="15.75" customHeight="1">
      <c r="B433" s="52"/>
      <c r="C433" s="53"/>
      <c r="D433" s="53"/>
    </row>
    <row r="434" ht="15.75" customHeight="1">
      <c r="B434" s="52"/>
      <c r="C434" s="53"/>
      <c r="D434" s="53"/>
    </row>
    <row r="435" ht="15.75" customHeight="1">
      <c r="B435" s="52"/>
      <c r="C435" s="53"/>
      <c r="D435" s="53"/>
    </row>
    <row r="436" ht="15.75" customHeight="1">
      <c r="B436" s="52"/>
      <c r="C436" s="53"/>
      <c r="D436" s="53"/>
    </row>
    <row r="437" ht="15.75" customHeight="1">
      <c r="B437" s="52"/>
      <c r="C437" s="53"/>
      <c r="D437" s="53"/>
    </row>
    <row r="438" ht="15.75" customHeight="1">
      <c r="B438" s="52"/>
      <c r="C438" s="53"/>
      <c r="D438" s="53"/>
    </row>
    <row r="439" ht="15.75" customHeight="1">
      <c r="B439" s="52"/>
      <c r="C439" s="53"/>
      <c r="D439" s="53"/>
    </row>
    <row r="440" ht="15.75" customHeight="1">
      <c r="B440" s="52"/>
      <c r="C440" s="53"/>
      <c r="D440" s="53"/>
    </row>
    <row r="441" ht="15.75" customHeight="1">
      <c r="B441" s="52"/>
      <c r="C441" s="53"/>
      <c r="D441" s="53"/>
    </row>
    <row r="442" ht="15.75" customHeight="1">
      <c r="B442" s="52"/>
      <c r="C442" s="53"/>
      <c r="D442" s="53"/>
    </row>
    <row r="443" ht="15.75" customHeight="1">
      <c r="B443" s="52"/>
      <c r="C443" s="53"/>
      <c r="D443" s="53"/>
    </row>
    <row r="444" ht="15.75" customHeight="1">
      <c r="B444" s="52"/>
      <c r="C444" s="53"/>
      <c r="D444" s="53"/>
    </row>
    <row r="445" ht="15.75" customHeight="1">
      <c r="B445" s="52"/>
      <c r="C445" s="53"/>
      <c r="D445" s="53"/>
    </row>
    <row r="446" ht="15.75" customHeight="1">
      <c r="B446" s="52"/>
      <c r="C446" s="53"/>
      <c r="D446" s="53"/>
    </row>
    <row r="447" ht="15.75" customHeight="1">
      <c r="B447" s="52"/>
      <c r="C447" s="53"/>
      <c r="D447" s="53"/>
    </row>
    <row r="448" ht="15.75" customHeight="1">
      <c r="B448" s="52"/>
      <c r="C448" s="53"/>
      <c r="D448" s="53"/>
    </row>
    <row r="449" ht="15.75" customHeight="1">
      <c r="B449" s="52"/>
      <c r="C449" s="53"/>
      <c r="D449" s="53"/>
    </row>
    <row r="450" ht="15.75" customHeight="1">
      <c r="B450" s="52"/>
      <c r="C450" s="53"/>
      <c r="D450" s="53"/>
    </row>
    <row r="451" ht="15.75" customHeight="1">
      <c r="B451" s="52"/>
      <c r="C451" s="53"/>
      <c r="D451" s="53"/>
    </row>
    <row r="452" ht="15.75" customHeight="1">
      <c r="B452" s="52"/>
      <c r="C452" s="53"/>
      <c r="D452" s="53"/>
    </row>
    <row r="453" ht="15.75" customHeight="1">
      <c r="B453" s="52"/>
      <c r="C453" s="53"/>
      <c r="D453" s="53"/>
    </row>
    <row r="454" ht="15.75" customHeight="1">
      <c r="B454" s="52"/>
      <c r="C454" s="53"/>
      <c r="D454" s="53"/>
    </row>
    <row r="455" ht="15.75" customHeight="1">
      <c r="B455" s="52"/>
      <c r="C455" s="53"/>
      <c r="D455" s="53"/>
    </row>
    <row r="456" ht="15.75" customHeight="1">
      <c r="B456" s="52"/>
      <c r="C456" s="53"/>
      <c r="D456" s="53"/>
    </row>
    <row r="457" ht="15.75" customHeight="1">
      <c r="B457" s="52"/>
      <c r="C457" s="53"/>
      <c r="D457" s="53"/>
    </row>
    <row r="458" ht="15.75" customHeight="1">
      <c r="B458" s="52"/>
      <c r="C458" s="53"/>
      <c r="D458" s="53"/>
    </row>
    <row r="459" ht="15.75" customHeight="1">
      <c r="B459" s="52"/>
      <c r="C459" s="53"/>
      <c r="D459" s="53"/>
    </row>
    <row r="460" ht="15.75" customHeight="1">
      <c r="B460" s="52"/>
      <c r="C460" s="53"/>
      <c r="D460" s="53"/>
    </row>
    <row r="461" ht="15.75" customHeight="1">
      <c r="B461" s="52"/>
      <c r="C461" s="53"/>
      <c r="D461" s="53"/>
    </row>
    <row r="462" ht="15.75" customHeight="1">
      <c r="B462" s="52"/>
      <c r="C462" s="53"/>
      <c r="D462" s="53"/>
    </row>
    <row r="463" ht="15.75" customHeight="1">
      <c r="B463" s="52"/>
      <c r="C463" s="53"/>
      <c r="D463" s="53"/>
    </row>
    <row r="464" ht="15.75" customHeight="1">
      <c r="B464" s="52"/>
      <c r="C464" s="53"/>
      <c r="D464" s="53"/>
    </row>
    <row r="465" ht="15.75" customHeight="1">
      <c r="B465" s="52"/>
      <c r="C465" s="53"/>
      <c r="D465" s="53"/>
    </row>
    <row r="466" ht="15.75" customHeight="1">
      <c r="B466" s="52"/>
      <c r="C466" s="53"/>
      <c r="D466" s="53"/>
    </row>
    <row r="467" ht="15.75" customHeight="1">
      <c r="B467" s="52"/>
      <c r="C467" s="53"/>
      <c r="D467" s="53"/>
    </row>
    <row r="468" ht="15.75" customHeight="1">
      <c r="B468" s="52"/>
      <c r="C468" s="53"/>
      <c r="D468" s="53"/>
    </row>
    <row r="469" ht="15.75" customHeight="1">
      <c r="B469" s="52"/>
      <c r="C469" s="53"/>
      <c r="D469" s="53"/>
    </row>
    <row r="470" ht="15.75" customHeight="1">
      <c r="B470" s="52"/>
      <c r="C470" s="53"/>
      <c r="D470" s="53"/>
    </row>
    <row r="471" ht="15.75" customHeight="1">
      <c r="B471" s="52"/>
      <c r="C471" s="53"/>
      <c r="D471" s="53"/>
    </row>
    <row r="472" ht="15.75" customHeight="1">
      <c r="B472" s="52"/>
      <c r="C472" s="53"/>
      <c r="D472" s="53"/>
    </row>
    <row r="473" ht="15.75" customHeight="1">
      <c r="B473" s="52"/>
      <c r="C473" s="53"/>
      <c r="D473" s="53"/>
    </row>
    <row r="474" ht="15.75" customHeight="1">
      <c r="B474" s="52"/>
      <c r="C474" s="53"/>
      <c r="D474" s="53"/>
    </row>
    <row r="475" ht="15.75" customHeight="1">
      <c r="B475" s="52"/>
      <c r="C475" s="53"/>
      <c r="D475" s="53"/>
    </row>
    <row r="476" ht="15.75" customHeight="1">
      <c r="B476" s="52"/>
      <c r="C476" s="53"/>
      <c r="D476" s="53"/>
    </row>
    <row r="477" ht="15.75" customHeight="1">
      <c r="B477" s="52"/>
      <c r="C477" s="53"/>
      <c r="D477" s="53"/>
    </row>
    <row r="478" ht="15.75" customHeight="1">
      <c r="B478" s="52"/>
      <c r="C478" s="53"/>
      <c r="D478" s="53"/>
    </row>
    <row r="479" ht="15.75" customHeight="1">
      <c r="B479" s="52"/>
      <c r="C479" s="53"/>
      <c r="D479" s="53"/>
    </row>
    <row r="480" ht="15.75" customHeight="1">
      <c r="B480" s="52"/>
      <c r="C480" s="53"/>
      <c r="D480" s="53"/>
    </row>
    <row r="481" ht="15.75" customHeight="1">
      <c r="B481" s="52"/>
      <c r="C481" s="53"/>
      <c r="D481" s="53"/>
    </row>
    <row r="482" ht="15.75" customHeight="1">
      <c r="B482" s="52"/>
      <c r="C482" s="53"/>
      <c r="D482" s="53"/>
    </row>
    <row r="483" ht="15.75" customHeight="1">
      <c r="B483" s="52"/>
      <c r="C483" s="53"/>
      <c r="D483" s="53"/>
    </row>
    <row r="484" ht="15.75" customHeight="1">
      <c r="B484" s="52"/>
      <c r="C484" s="53"/>
      <c r="D484" s="53"/>
    </row>
    <row r="485" ht="15.75" customHeight="1">
      <c r="B485" s="52"/>
      <c r="C485" s="53"/>
      <c r="D485" s="53"/>
    </row>
    <row r="486" ht="15.75" customHeight="1">
      <c r="B486" s="52"/>
      <c r="C486" s="53"/>
      <c r="D486" s="53"/>
    </row>
    <row r="487" ht="15.75" customHeight="1">
      <c r="B487" s="52"/>
      <c r="C487" s="53"/>
      <c r="D487" s="53"/>
    </row>
    <row r="488" ht="15.75" customHeight="1">
      <c r="B488" s="52"/>
      <c r="C488" s="53"/>
      <c r="D488" s="53"/>
    </row>
    <row r="489" ht="15.75" customHeight="1">
      <c r="B489" s="52"/>
      <c r="C489" s="53"/>
      <c r="D489" s="53"/>
    </row>
    <row r="490" ht="15.75" customHeight="1">
      <c r="B490" s="52"/>
      <c r="C490" s="53"/>
      <c r="D490" s="53"/>
    </row>
    <row r="491" ht="15.75" customHeight="1">
      <c r="B491" s="52"/>
      <c r="C491" s="53"/>
      <c r="D491" s="53"/>
    </row>
    <row r="492" ht="15.75" customHeight="1">
      <c r="B492" s="52"/>
      <c r="C492" s="53"/>
      <c r="D492" s="53"/>
    </row>
    <row r="493" ht="15.75" customHeight="1">
      <c r="B493" s="52"/>
      <c r="C493" s="53"/>
      <c r="D493" s="53"/>
    </row>
    <row r="494" ht="15.75" customHeight="1">
      <c r="B494" s="52"/>
      <c r="C494" s="53"/>
      <c r="D494" s="53"/>
    </row>
    <row r="495" ht="15.75" customHeight="1">
      <c r="B495" s="52"/>
      <c r="C495" s="53"/>
      <c r="D495" s="53"/>
    </row>
    <row r="496" ht="15.75" customHeight="1">
      <c r="B496" s="52"/>
      <c r="C496" s="53"/>
      <c r="D496" s="53"/>
    </row>
    <row r="497" ht="15.75" customHeight="1">
      <c r="B497" s="52"/>
      <c r="C497" s="53"/>
      <c r="D497" s="53"/>
    </row>
    <row r="498" ht="15.75" customHeight="1">
      <c r="B498" s="52"/>
      <c r="C498" s="53"/>
      <c r="D498" s="53"/>
    </row>
    <row r="499" ht="15.75" customHeight="1">
      <c r="B499" s="52"/>
      <c r="C499" s="53"/>
      <c r="D499" s="53"/>
    </row>
    <row r="500" ht="15.75" customHeight="1">
      <c r="B500" s="52"/>
      <c r="C500" s="53"/>
      <c r="D500" s="53"/>
    </row>
    <row r="501" ht="15.75" customHeight="1">
      <c r="B501" s="52"/>
      <c r="C501" s="53"/>
      <c r="D501" s="53"/>
    </row>
    <row r="502" ht="15.75" customHeight="1">
      <c r="B502" s="52"/>
      <c r="C502" s="53"/>
      <c r="D502" s="53"/>
    </row>
    <row r="503" ht="15.75" customHeight="1">
      <c r="B503" s="52"/>
      <c r="C503" s="53"/>
      <c r="D503" s="53"/>
    </row>
    <row r="504" ht="15.75" customHeight="1">
      <c r="B504" s="52"/>
      <c r="C504" s="53"/>
      <c r="D504" s="53"/>
    </row>
    <row r="505" ht="15.75" customHeight="1">
      <c r="B505" s="52"/>
      <c r="C505" s="53"/>
      <c r="D505" s="53"/>
    </row>
    <row r="506" ht="15.75" customHeight="1">
      <c r="B506" s="52"/>
      <c r="C506" s="53"/>
      <c r="D506" s="53"/>
    </row>
    <row r="507" ht="15.75" customHeight="1">
      <c r="B507" s="52"/>
      <c r="C507" s="53"/>
      <c r="D507" s="53"/>
    </row>
    <row r="508" ht="15.75" customHeight="1">
      <c r="B508" s="52"/>
      <c r="C508" s="53"/>
      <c r="D508" s="53"/>
    </row>
    <row r="509" ht="15.75" customHeight="1">
      <c r="B509" s="52"/>
      <c r="C509" s="53"/>
      <c r="D509" s="53"/>
    </row>
    <row r="510" ht="15.75" customHeight="1">
      <c r="B510" s="52"/>
      <c r="C510" s="53"/>
      <c r="D510" s="53"/>
    </row>
    <row r="511" ht="15.75" customHeight="1">
      <c r="B511" s="52"/>
      <c r="C511" s="53"/>
      <c r="D511" s="53"/>
    </row>
    <row r="512" ht="15.75" customHeight="1">
      <c r="B512" s="52"/>
      <c r="C512" s="53"/>
      <c r="D512" s="53"/>
    </row>
    <row r="513" ht="15.75" customHeight="1">
      <c r="B513" s="52"/>
      <c r="C513" s="53"/>
      <c r="D513" s="53"/>
    </row>
    <row r="514" ht="15.75" customHeight="1">
      <c r="B514" s="52"/>
      <c r="C514" s="53"/>
      <c r="D514" s="53"/>
    </row>
    <row r="515" ht="15.75" customHeight="1">
      <c r="B515" s="52"/>
      <c r="C515" s="53"/>
      <c r="D515" s="53"/>
    </row>
    <row r="516" ht="15.75" customHeight="1">
      <c r="B516" s="52"/>
      <c r="C516" s="53"/>
      <c r="D516" s="53"/>
    </row>
    <row r="517" ht="15.75" customHeight="1">
      <c r="B517" s="52"/>
      <c r="C517" s="53"/>
      <c r="D517" s="53"/>
    </row>
    <row r="518" ht="15.75" customHeight="1">
      <c r="B518" s="52"/>
      <c r="C518" s="53"/>
      <c r="D518" s="53"/>
    </row>
    <row r="519" ht="15.75" customHeight="1">
      <c r="B519" s="52"/>
      <c r="C519" s="53"/>
      <c r="D519" s="53"/>
    </row>
    <row r="520" ht="15.75" customHeight="1">
      <c r="B520" s="52"/>
      <c r="C520" s="53"/>
      <c r="D520" s="53"/>
    </row>
    <row r="521" ht="15.75" customHeight="1">
      <c r="B521" s="52"/>
      <c r="C521" s="53"/>
      <c r="D521" s="53"/>
    </row>
    <row r="522" ht="15.75" customHeight="1">
      <c r="B522" s="52"/>
      <c r="C522" s="53"/>
      <c r="D522" s="53"/>
    </row>
    <row r="523" ht="15.75" customHeight="1">
      <c r="B523" s="52"/>
      <c r="C523" s="53"/>
      <c r="D523" s="53"/>
    </row>
    <row r="524" ht="15.75" customHeight="1">
      <c r="B524" s="52"/>
      <c r="C524" s="53"/>
      <c r="D524" s="53"/>
    </row>
    <row r="525" ht="15.75" customHeight="1">
      <c r="B525" s="52"/>
      <c r="C525" s="53"/>
      <c r="D525" s="53"/>
    </row>
    <row r="526" ht="15.75" customHeight="1">
      <c r="B526" s="52"/>
      <c r="C526" s="53"/>
      <c r="D526" s="53"/>
    </row>
    <row r="527" ht="15.75" customHeight="1">
      <c r="B527" s="52"/>
      <c r="C527" s="53"/>
      <c r="D527" s="53"/>
    </row>
    <row r="528" ht="15.75" customHeight="1">
      <c r="B528" s="52"/>
      <c r="C528" s="53"/>
      <c r="D528" s="53"/>
    </row>
    <row r="529" ht="15.75" customHeight="1">
      <c r="B529" s="52"/>
      <c r="C529" s="53"/>
      <c r="D529" s="53"/>
    </row>
    <row r="530" ht="15.75" customHeight="1">
      <c r="B530" s="52"/>
      <c r="C530" s="53"/>
      <c r="D530" s="53"/>
    </row>
    <row r="531" ht="15.75" customHeight="1">
      <c r="B531" s="52"/>
      <c r="C531" s="53"/>
      <c r="D531" s="53"/>
    </row>
    <row r="532" ht="15.75" customHeight="1">
      <c r="B532" s="52"/>
      <c r="C532" s="53"/>
      <c r="D532" s="53"/>
    </row>
    <row r="533" ht="15.75" customHeight="1">
      <c r="B533" s="52"/>
      <c r="C533" s="53"/>
      <c r="D533" s="53"/>
    </row>
    <row r="534" ht="15.75" customHeight="1">
      <c r="B534" s="52"/>
      <c r="C534" s="53"/>
      <c r="D534" s="53"/>
    </row>
    <row r="535" ht="15.75" customHeight="1">
      <c r="B535" s="52"/>
      <c r="C535" s="53"/>
      <c r="D535" s="53"/>
    </row>
    <row r="536" ht="15.75" customHeight="1">
      <c r="B536" s="52"/>
      <c r="C536" s="53"/>
      <c r="D536" s="53"/>
    </row>
    <row r="537" ht="15.75" customHeight="1">
      <c r="B537" s="52"/>
      <c r="C537" s="53"/>
      <c r="D537" s="53"/>
    </row>
    <row r="538" ht="15.75" customHeight="1">
      <c r="B538" s="52"/>
      <c r="C538" s="53"/>
      <c r="D538" s="53"/>
    </row>
    <row r="539" ht="15.75" customHeight="1">
      <c r="B539" s="52"/>
      <c r="C539" s="53"/>
      <c r="D539" s="53"/>
    </row>
    <row r="540" ht="15.75" customHeight="1">
      <c r="B540" s="52"/>
      <c r="C540" s="53"/>
      <c r="D540" s="53"/>
    </row>
    <row r="541" ht="15.75" customHeight="1">
      <c r="B541" s="52"/>
      <c r="C541" s="53"/>
      <c r="D541" s="53"/>
    </row>
    <row r="542" ht="15.75" customHeight="1">
      <c r="B542" s="52"/>
      <c r="C542" s="53"/>
      <c r="D542" s="53"/>
    </row>
    <row r="543" ht="15.75" customHeight="1">
      <c r="B543" s="52"/>
      <c r="C543" s="53"/>
      <c r="D543" s="53"/>
    </row>
    <row r="544" ht="15.75" customHeight="1">
      <c r="B544" s="52"/>
      <c r="C544" s="53"/>
      <c r="D544" s="53"/>
    </row>
    <row r="545" ht="15.75" customHeight="1">
      <c r="B545" s="52"/>
      <c r="C545" s="53"/>
      <c r="D545" s="53"/>
    </row>
    <row r="546" ht="15.75" customHeight="1">
      <c r="B546" s="52"/>
      <c r="C546" s="53"/>
      <c r="D546" s="53"/>
    </row>
    <row r="547" ht="15.75" customHeight="1">
      <c r="B547" s="52"/>
      <c r="C547" s="53"/>
      <c r="D547" s="53"/>
    </row>
    <row r="548" ht="15.75" customHeight="1">
      <c r="B548" s="52"/>
      <c r="C548" s="53"/>
      <c r="D548" s="53"/>
    </row>
    <row r="549" ht="15.75" customHeight="1">
      <c r="B549" s="52"/>
      <c r="C549" s="53"/>
      <c r="D549" s="53"/>
    </row>
    <row r="550" ht="15.75" customHeight="1">
      <c r="B550" s="52"/>
      <c r="C550" s="53"/>
      <c r="D550" s="53"/>
    </row>
    <row r="551" ht="15.75" customHeight="1">
      <c r="B551" s="52"/>
      <c r="C551" s="53"/>
      <c r="D551" s="53"/>
    </row>
    <row r="552" ht="15.75" customHeight="1">
      <c r="B552" s="52"/>
      <c r="C552" s="53"/>
      <c r="D552" s="53"/>
    </row>
    <row r="553" ht="15.75" customHeight="1">
      <c r="B553" s="52"/>
      <c r="C553" s="53"/>
      <c r="D553" s="53"/>
    </row>
    <row r="554" ht="15.75" customHeight="1">
      <c r="B554" s="52"/>
      <c r="C554" s="53"/>
      <c r="D554" s="53"/>
    </row>
    <row r="555" ht="15.75" customHeight="1">
      <c r="B555" s="52"/>
      <c r="C555" s="53"/>
      <c r="D555" s="53"/>
    </row>
    <row r="556" ht="15.75" customHeight="1">
      <c r="B556" s="52"/>
      <c r="C556" s="53"/>
      <c r="D556" s="53"/>
    </row>
    <row r="557" ht="15.75" customHeight="1">
      <c r="B557" s="52"/>
      <c r="C557" s="53"/>
      <c r="D557" s="53"/>
    </row>
    <row r="558" ht="15.75" customHeight="1">
      <c r="B558" s="52"/>
      <c r="C558" s="53"/>
      <c r="D558" s="53"/>
    </row>
    <row r="559" ht="15.75" customHeight="1">
      <c r="B559" s="52"/>
      <c r="C559" s="53"/>
      <c r="D559" s="53"/>
    </row>
    <row r="560" ht="15.75" customHeight="1">
      <c r="B560" s="52"/>
      <c r="C560" s="53"/>
      <c r="D560" s="53"/>
    </row>
    <row r="561" ht="15.75" customHeight="1">
      <c r="B561" s="52"/>
      <c r="C561" s="53"/>
      <c r="D561" s="53"/>
    </row>
    <row r="562" ht="15.75" customHeight="1">
      <c r="B562" s="52"/>
      <c r="C562" s="53"/>
      <c r="D562" s="53"/>
    </row>
    <row r="563" ht="15.75" customHeight="1">
      <c r="B563" s="52"/>
      <c r="C563" s="53"/>
      <c r="D563" s="53"/>
    </row>
    <row r="564" ht="15.75" customHeight="1">
      <c r="B564" s="52"/>
      <c r="C564" s="53"/>
      <c r="D564" s="53"/>
    </row>
    <row r="565" ht="15.75" customHeight="1">
      <c r="B565" s="52"/>
      <c r="C565" s="53"/>
      <c r="D565" s="53"/>
    </row>
    <row r="566" ht="15.75" customHeight="1">
      <c r="B566" s="52"/>
      <c r="C566" s="53"/>
      <c r="D566" s="53"/>
    </row>
    <row r="567" ht="15.75" customHeight="1">
      <c r="B567" s="52"/>
      <c r="C567" s="53"/>
      <c r="D567" s="53"/>
    </row>
    <row r="568" ht="15.75" customHeight="1">
      <c r="B568" s="52"/>
      <c r="C568" s="53"/>
      <c r="D568" s="53"/>
    </row>
    <row r="569" ht="15.75" customHeight="1">
      <c r="B569" s="52"/>
      <c r="C569" s="53"/>
      <c r="D569" s="53"/>
    </row>
    <row r="570" ht="15.75" customHeight="1">
      <c r="B570" s="52"/>
      <c r="C570" s="53"/>
      <c r="D570" s="53"/>
    </row>
    <row r="571" ht="15.75" customHeight="1">
      <c r="B571" s="52"/>
      <c r="C571" s="53"/>
      <c r="D571" s="53"/>
    </row>
    <row r="572" ht="15.75" customHeight="1">
      <c r="B572" s="52"/>
      <c r="C572" s="53"/>
      <c r="D572" s="53"/>
    </row>
    <row r="573" ht="15.75" customHeight="1">
      <c r="B573" s="52"/>
      <c r="C573" s="53"/>
      <c r="D573" s="53"/>
    </row>
    <row r="574" ht="15.75" customHeight="1">
      <c r="B574" s="52"/>
      <c r="C574" s="53"/>
      <c r="D574" s="53"/>
    </row>
    <row r="575" ht="15.75" customHeight="1">
      <c r="B575" s="52"/>
      <c r="C575" s="53"/>
      <c r="D575" s="53"/>
    </row>
    <row r="576" ht="15.75" customHeight="1">
      <c r="B576" s="52"/>
      <c r="C576" s="53"/>
      <c r="D576" s="53"/>
    </row>
    <row r="577" ht="15.75" customHeight="1">
      <c r="B577" s="52"/>
      <c r="C577" s="53"/>
      <c r="D577" s="53"/>
    </row>
    <row r="578" ht="15.75" customHeight="1">
      <c r="B578" s="52"/>
      <c r="C578" s="53"/>
      <c r="D578" s="53"/>
    </row>
    <row r="579" ht="15.75" customHeight="1">
      <c r="B579" s="52"/>
      <c r="C579" s="53"/>
      <c r="D579" s="53"/>
    </row>
    <row r="580" ht="15.75" customHeight="1">
      <c r="B580" s="52"/>
      <c r="C580" s="53"/>
      <c r="D580" s="53"/>
    </row>
    <row r="581" ht="15.75" customHeight="1">
      <c r="B581" s="52"/>
      <c r="C581" s="53"/>
      <c r="D581" s="53"/>
    </row>
    <row r="582" ht="15.75" customHeight="1">
      <c r="B582" s="52"/>
      <c r="C582" s="53"/>
      <c r="D582" s="53"/>
    </row>
    <row r="583" ht="15.75" customHeight="1">
      <c r="B583" s="52"/>
      <c r="C583" s="53"/>
      <c r="D583" s="53"/>
    </row>
    <row r="584" ht="15.75" customHeight="1">
      <c r="B584" s="52"/>
      <c r="C584" s="53"/>
      <c r="D584" s="53"/>
    </row>
    <row r="585" ht="15.75" customHeight="1">
      <c r="B585" s="52"/>
      <c r="C585" s="53"/>
      <c r="D585" s="53"/>
    </row>
    <row r="586" ht="15.75" customHeight="1">
      <c r="B586" s="52"/>
      <c r="C586" s="53"/>
      <c r="D586" s="53"/>
    </row>
    <row r="587" ht="15.75" customHeight="1">
      <c r="B587" s="52"/>
      <c r="C587" s="53"/>
      <c r="D587" s="53"/>
    </row>
    <row r="588" ht="15.75" customHeight="1">
      <c r="B588" s="52"/>
      <c r="C588" s="53"/>
      <c r="D588" s="53"/>
    </row>
    <row r="589" ht="15.75" customHeight="1">
      <c r="B589" s="52"/>
      <c r="C589" s="53"/>
      <c r="D589" s="53"/>
    </row>
    <row r="590" ht="15.75" customHeight="1">
      <c r="B590" s="52"/>
      <c r="C590" s="53"/>
      <c r="D590" s="53"/>
    </row>
    <row r="591" ht="15.75" customHeight="1">
      <c r="B591" s="52"/>
      <c r="C591" s="53"/>
      <c r="D591" s="53"/>
    </row>
    <row r="592" ht="15.75" customHeight="1">
      <c r="B592" s="52"/>
      <c r="C592" s="53"/>
      <c r="D592" s="53"/>
    </row>
    <row r="593" ht="15.75" customHeight="1">
      <c r="B593" s="52"/>
      <c r="C593" s="53"/>
      <c r="D593" s="53"/>
    </row>
    <row r="594" ht="15.75" customHeight="1">
      <c r="B594" s="52"/>
      <c r="C594" s="53"/>
      <c r="D594" s="53"/>
    </row>
    <row r="595" ht="15.75" customHeight="1">
      <c r="B595" s="52"/>
      <c r="C595" s="53"/>
      <c r="D595" s="53"/>
    </row>
    <row r="596" ht="15.75" customHeight="1">
      <c r="B596" s="52"/>
      <c r="C596" s="53"/>
      <c r="D596" s="53"/>
    </row>
    <row r="597" ht="15.75" customHeight="1">
      <c r="B597" s="52"/>
      <c r="C597" s="53"/>
      <c r="D597" s="53"/>
    </row>
    <row r="598" ht="15.75" customHeight="1">
      <c r="B598" s="52"/>
      <c r="C598" s="53"/>
      <c r="D598" s="53"/>
    </row>
    <row r="599" ht="15.75" customHeight="1">
      <c r="B599" s="52"/>
      <c r="C599" s="53"/>
      <c r="D599" s="53"/>
    </row>
    <row r="600" ht="15.75" customHeight="1">
      <c r="B600" s="52"/>
      <c r="C600" s="53"/>
      <c r="D600" s="53"/>
    </row>
    <row r="601" ht="15.75" customHeight="1">
      <c r="B601" s="52"/>
      <c r="C601" s="53"/>
      <c r="D601" s="53"/>
    </row>
    <row r="602" ht="15.75" customHeight="1">
      <c r="B602" s="52"/>
      <c r="C602" s="53"/>
      <c r="D602" s="53"/>
    </row>
    <row r="603" ht="15.75" customHeight="1">
      <c r="B603" s="52"/>
      <c r="C603" s="53"/>
      <c r="D603" s="53"/>
    </row>
    <row r="604" ht="15.75" customHeight="1">
      <c r="B604" s="52"/>
      <c r="C604" s="53"/>
      <c r="D604" s="53"/>
    </row>
    <row r="605" ht="15.75" customHeight="1">
      <c r="B605" s="52"/>
      <c r="C605" s="53"/>
      <c r="D605" s="53"/>
    </row>
    <row r="606" ht="15.75" customHeight="1">
      <c r="B606" s="52"/>
      <c r="C606" s="53"/>
      <c r="D606" s="53"/>
    </row>
    <row r="607" ht="15.75" customHeight="1">
      <c r="B607" s="52"/>
      <c r="C607" s="53"/>
      <c r="D607" s="53"/>
    </row>
    <row r="608" ht="15.75" customHeight="1">
      <c r="B608" s="52"/>
      <c r="C608" s="53"/>
      <c r="D608" s="53"/>
    </row>
    <row r="609" ht="15.75" customHeight="1">
      <c r="B609" s="52"/>
      <c r="C609" s="53"/>
      <c r="D609" s="53"/>
    </row>
    <row r="610" ht="15.75" customHeight="1">
      <c r="B610" s="52"/>
      <c r="C610" s="53"/>
      <c r="D610" s="53"/>
    </row>
    <row r="611" ht="15.75" customHeight="1">
      <c r="B611" s="52"/>
      <c r="C611" s="53"/>
      <c r="D611" s="53"/>
    </row>
    <row r="612" ht="15.75" customHeight="1">
      <c r="B612" s="52"/>
      <c r="C612" s="53"/>
      <c r="D612" s="53"/>
    </row>
    <row r="613" ht="15.75" customHeight="1">
      <c r="B613" s="52"/>
      <c r="C613" s="53"/>
      <c r="D613" s="53"/>
    </row>
    <row r="614" ht="15.75" customHeight="1">
      <c r="B614" s="52"/>
      <c r="C614" s="53"/>
      <c r="D614" s="53"/>
    </row>
    <row r="615" ht="15.75" customHeight="1">
      <c r="B615" s="52"/>
      <c r="C615" s="53"/>
      <c r="D615" s="53"/>
    </row>
    <row r="616" ht="15.75" customHeight="1">
      <c r="B616" s="52"/>
      <c r="C616" s="53"/>
      <c r="D616" s="53"/>
    </row>
    <row r="617" ht="15.75" customHeight="1">
      <c r="B617" s="52"/>
      <c r="C617" s="53"/>
      <c r="D617" s="53"/>
    </row>
    <row r="618" ht="15.75" customHeight="1">
      <c r="B618" s="52"/>
      <c r="C618" s="53"/>
      <c r="D618" s="53"/>
    </row>
    <row r="619" ht="15.75" customHeight="1">
      <c r="B619" s="52"/>
      <c r="C619" s="53"/>
      <c r="D619" s="53"/>
    </row>
    <row r="620" ht="15.75" customHeight="1">
      <c r="B620" s="52"/>
      <c r="C620" s="53"/>
      <c r="D620" s="53"/>
    </row>
    <row r="621" ht="15.75" customHeight="1">
      <c r="B621" s="52"/>
      <c r="C621" s="53"/>
      <c r="D621" s="53"/>
    </row>
    <row r="622" ht="15.75" customHeight="1">
      <c r="B622" s="52"/>
      <c r="C622" s="53"/>
      <c r="D622" s="53"/>
    </row>
    <row r="623" ht="15.75" customHeight="1">
      <c r="B623" s="52"/>
      <c r="C623" s="53"/>
      <c r="D623" s="53"/>
    </row>
    <row r="624" ht="15.75" customHeight="1">
      <c r="B624" s="52"/>
      <c r="C624" s="53"/>
      <c r="D624" s="53"/>
    </row>
    <row r="625" ht="15.75" customHeight="1">
      <c r="B625" s="52"/>
      <c r="C625" s="53"/>
      <c r="D625" s="53"/>
    </row>
    <row r="626" ht="15.75" customHeight="1">
      <c r="B626" s="52"/>
      <c r="C626" s="53"/>
      <c r="D626" s="53"/>
    </row>
    <row r="627" ht="15.75" customHeight="1">
      <c r="B627" s="52"/>
      <c r="C627" s="53"/>
      <c r="D627" s="53"/>
    </row>
    <row r="628" ht="15.75" customHeight="1">
      <c r="B628" s="52"/>
      <c r="C628" s="53"/>
      <c r="D628" s="53"/>
    </row>
    <row r="629" ht="15.75" customHeight="1">
      <c r="B629" s="52"/>
      <c r="C629" s="53"/>
      <c r="D629" s="53"/>
    </row>
    <row r="630" ht="15.75" customHeight="1">
      <c r="B630" s="52"/>
      <c r="C630" s="53"/>
      <c r="D630" s="53"/>
    </row>
    <row r="631" ht="15.75" customHeight="1">
      <c r="B631" s="52"/>
      <c r="C631" s="53"/>
      <c r="D631" s="53"/>
    </row>
    <row r="632" ht="15.75" customHeight="1">
      <c r="B632" s="52"/>
      <c r="C632" s="53"/>
      <c r="D632" s="53"/>
    </row>
    <row r="633" ht="15.75" customHeight="1">
      <c r="B633" s="52"/>
      <c r="C633" s="53"/>
      <c r="D633" s="53"/>
    </row>
    <row r="634" ht="15.75" customHeight="1">
      <c r="B634" s="52"/>
      <c r="C634" s="53"/>
      <c r="D634" s="53"/>
    </row>
    <row r="635" ht="15.75" customHeight="1">
      <c r="B635" s="52"/>
      <c r="C635" s="53"/>
      <c r="D635" s="53"/>
    </row>
    <row r="636" ht="15.75" customHeight="1">
      <c r="B636" s="52"/>
      <c r="C636" s="53"/>
      <c r="D636" s="53"/>
    </row>
    <row r="637" ht="15.75" customHeight="1">
      <c r="B637" s="52"/>
      <c r="C637" s="53"/>
      <c r="D637" s="53"/>
    </row>
    <row r="638" ht="15.75" customHeight="1">
      <c r="B638" s="52"/>
      <c r="C638" s="53"/>
      <c r="D638" s="53"/>
    </row>
    <row r="639" ht="15.75" customHeight="1">
      <c r="B639" s="52"/>
      <c r="C639" s="53"/>
      <c r="D639" s="53"/>
    </row>
    <row r="640" ht="15.75" customHeight="1">
      <c r="B640" s="52"/>
      <c r="C640" s="53"/>
      <c r="D640" s="53"/>
    </row>
    <row r="641" ht="15.75" customHeight="1">
      <c r="B641" s="52"/>
      <c r="C641" s="53"/>
      <c r="D641" s="53"/>
    </row>
    <row r="642" ht="15.75" customHeight="1">
      <c r="B642" s="52"/>
      <c r="C642" s="53"/>
      <c r="D642" s="53"/>
    </row>
    <row r="643" ht="15.75" customHeight="1">
      <c r="B643" s="52"/>
      <c r="C643" s="53"/>
      <c r="D643" s="53"/>
    </row>
    <row r="644" ht="15.75" customHeight="1">
      <c r="B644" s="52"/>
      <c r="C644" s="53"/>
      <c r="D644" s="53"/>
    </row>
    <row r="645" ht="15.75" customHeight="1">
      <c r="B645" s="52"/>
      <c r="C645" s="53"/>
      <c r="D645" s="53"/>
    </row>
    <row r="646" ht="15.75" customHeight="1">
      <c r="B646" s="52"/>
      <c r="C646" s="53"/>
      <c r="D646" s="53"/>
    </row>
    <row r="647" ht="15.75" customHeight="1">
      <c r="B647" s="52"/>
      <c r="C647" s="53"/>
      <c r="D647" s="53"/>
    </row>
    <row r="648" ht="15.75" customHeight="1">
      <c r="B648" s="52"/>
      <c r="C648" s="53"/>
      <c r="D648" s="53"/>
    </row>
    <row r="649" ht="15.75" customHeight="1">
      <c r="B649" s="52"/>
      <c r="C649" s="53"/>
      <c r="D649" s="53"/>
    </row>
    <row r="650" ht="15.75" customHeight="1">
      <c r="B650" s="52"/>
      <c r="C650" s="53"/>
      <c r="D650" s="53"/>
    </row>
    <row r="651" ht="15.75" customHeight="1">
      <c r="B651" s="52"/>
      <c r="C651" s="53"/>
      <c r="D651" s="53"/>
    </row>
    <row r="652" ht="15.75" customHeight="1">
      <c r="B652" s="52"/>
      <c r="C652" s="53"/>
      <c r="D652" s="53"/>
    </row>
    <row r="653" ht="15.75" customHeight="1">
      <c r="B653" s="52"/>
      <c r="C653" s="53"/>
      <c r="D653" s="53"/>
    </row>
    <row r="654" ht="15.75" customHeight="1">
      <c r="B654" s="52"/>
      <c r="C654" s="53"/>
      <c r="D654" s="53"/>
    </row>
    <row r="655" ht="15.75" customHeight="1">
      <c r="B655" s="52"/>
      <c r="C655" s="53"/>
      <c r="D655" s="53"/>
    </row>
    <row r="656" ht="15.75" customHeight="1">
      <c r="B656" s="52"/>
      <c r="C656" s="53"/>
      <c r="D656" s="53"/>
    </row>
    <row r="657" ht="15.75" customHeight="1">
      <c r="B657" s="52"/>
      <c r="C657" s="53"/>
      <c r="D657" s="53"/>
    </row>
    <row r="658" ht="15.75" customHeight="1">
      <c r="B658" s="52"/>
      <c r="C658" s="53"/>
      <c r="D658" s="53"/>
    </row>
    <row r="659" ht="15.75" customHeight="1">
      <c r="B659" s="52"/>
      <c r="C659" s="53"/>
      <c r="D659" s="53"/>
    </row>
    <row r="660" ht="15.75" customHeight="1">
      <c r="B660" s="52"/>
      <c r="C660" s="53"/>
      <c r="D660" s="53"/>
    </row>
    <row r="661" ht="15.75" customHeight="1">
      <c r="B661" s="52"/>
      <c r="C661" s="53"/>
      <c r="D661" s="53"/>
    </row>
    <row r="662" ht="15.75" customHeight="1">
      <c r="B662" s="52"/>
      <c r="C662" s="53"/>
      <c r="D662" s="53"/>
    </row>
    <row r="663" ht="15.75" customHeight="1">
      <c r="B663" s="52"/>
      <c r="C663" s="53"/>
      <c r="D663" s="53"/>
    </row>
    <row r="664" ht="15.75" customHeight="1">
      <c r="B664" s="52"/>
      <c r="C664" s="53"/>
      <c r="D664" s="53"/>
    </row>
    <row r="665" ht="15.75" customHeight="1">
      <c r="B665" s="52"/>
      <c r="C665" s="53"/>
      <c r="D665" s="53"/>
    </row>
    <row r="666" ht="15.75" customHeight="1">
      <c r="B666" s="52"/>
      <c r="C666" s="53"/>
      <c r="D666" s="53"/>
    </row>
    <row r="667" ht="15.75" customHeight="1">
      <c r="B667" s="52"/>
      <c r="C667" s="53"/>
      <c r="D667" s="53"/>
    </row>
    <row r="668" ht="15.75" customHeight="1">
      <c r="B668" s="52"/>
      <c r="C668" s="53"/>
      <c r="D668" s="53"/>
    </row>
    <row r="669" ht="15.75" customHeight="1">
      <c r="B669" s="52"/>
      <c r="C669" s="53"/>
      <c r="D669" s="53"/>
    </row>
    <row r="670" ht="15.75" customHeight="1">
      <c r="B670" s="52"/>
      <c r="C670" s="53"/>
      <c r="D670" s="53"/>
    </row>
    <row r="671" ht="15.75" customHeight="1">
      <c r="B671" s="52"/>
      <c r="C671" s="53"/>
      <c r="D671" s="53"/>
    </row>
    <row r="672" ht="15.75" customHeight="1">
      <c r="B672" s="52"/>
      <c r="C672" s="53"/>
      <c r="D672" s="53"/>
    </row>
    <row r="673" ht="15.75" customHeight="1">
      <c r="B673" s="52"/>
      <c r="C673" s="53"/>
      <c r="D673" s="53"/>
    </row>
    <row r="674" ht="15.75" customHeight="1">
      <c r="B674" s="52"/>
      <c r="C674" s="53"/>
      <c r="D674" s="53"/>
    </row>
    <row r="675" ht="15.75" customHeight="1">
      <c r="B675" s="52"/>
      <c r="C675" s="53"/>
      <c r="D675" s="53"/>
    </row>
    <row r="676" ht="15.75" customHeight="1">
      <c r="B676" s="52"/>
      <c r="C676" s="53"/>
      <c r="D676" s="53"/>
    </row>
    <row r="677" ht="15.75" customHeight="1">
      <c r="B677" s="52"/>
      <c r="C677" s="53"/>
      <c r="D677" s="53"/>
    </row>
    <row r="678" ht="15.75" customHeight="1">
      <c r="B678" s="52"/>
      <c r="C678" s="53"/>
      <c r="D678" s="53"/>
    </row>
    <row r="679" ht="15.75" customHeight="1">
      <c r="B679" s="52"/>
      <c r="C679" s="53"/>
      <c r="D679" s="53"/>
    </row>
    <row r="680" ht="15.75" customHeight="1">
      <c r="B680" s="52"/>
      <c r="C680" s="53"/>
      <c r="D680" s="53"/>
    </row>
    <row r="681" ht="15.75" customHeight="1">
      <c r="B681" s="52"/>
      <c r="C681" s="53"/>
      <c r="D681" s="53"/>
    </row>
    <row r="682" ht="15.75" customHeight="1">
      <c r="B682" s="52"/>
      <c r="C682" s="53"/>
      <c r="D682" s="53"/>
    </row>
    <row r="683" ht="15.75" customHeight="1">
      <c r="B683" s="52"/>
      <c r="C683" s="53"/>
      <c r="D683" s="53"/>
    </row>
    <row r="684" ht="15.75" customHeight="1">
      <c r="B684" s="52"/>
      <c r="C684" s="53"/>
      <c r="D684" s="53"/>
    </row>
    <row r="685" ht="15.75" customHeight="1">
      <c r="B685" s="52"/>
      <c r="C685" s="53"/>
      <c r="D685" s="53"/>
    </row>
    <row r="686" ht="15.75" customHeight="1">
      <c r="B686" s="52"/>
      <c r="C686" s="53"/>
      <c r="D686" s="53"/>
    </row>
    <row r="687" ht="15.75" customHeight="1">
      <c r="B687" s="52"/>
      <c r="C687" s="53"/>
      <c r="D687" s="53"/>
    </row>
    <row r="688" ht="15.75" customHeight="1">
      <c r="B688" s="52"/>
      <c r="C688" s="53"/>
      <c r="D688" s="53"/>
    </row>
    <row r="689" ht="15.75" customHeight="1">
      <c r="B689" s="52"/>
      <c r="C689" s="53"/>
      <c r="D689" s="53"/>
    </row>
    <row r="690" ht="15.75" customHeight="1">
      <c r="B690" s="52"/>
      <c r="C690" s="53"/>
      <c r="D690" s="53"/>
    </row>
    <row r="691" ht="15.75" customHeight="1">
      <c r="B691" s="52"/>
      <c r="C691" s="53"/>
      <c r="D691" s="53"/>
    </row>
    <row r="692" ht="15.75" customHeight="1">
      <c r="B692" s="52"/>
      <c r="C692" s="53"/>
      <c r="D692" s="53"/>
    </row>
    <row r="693" ht="15.75" customHeight="1">
      <c r="B693" s="52"/>
      <c r="C693" s="53"/>
      <c r="D693" s="53"/>
    </row>
    <row r="694" ht="15.75" customHeight="1">
      <c r="B694" s="52"/>
      <c r="C694" s="53"/>
      <c r="D694" s="53"/>
    </row>
    <row r="695" ht="15.75" customHeight="1">
      <c r="B695" s="52"/>
      <c r="C695" s="53"/>
      <c r="D695" s="53"/>
    </row>
    <row r="696" ht="15.75" customHeight="1">
      <c r="B696" s="52"/>
      <c r="C696" s="53"/>
      <c r="D696" s="53"/>
    </row>
    <row r="697" ht="15.75" customHeight="1">
      <c r="B697" s="52"/>
      <c r="C697" s="53"/>
      <c r="D697" s="53"/>
    </row>
    <row r="698" ht="15.75" customHeight="1">
      <c r="B698" s="52"/>
      <c r="C698" s="53"/>
      <c r="D698" s="53"/>
    </row>
    <row r="699" ht="15.75" customHeight="1">
      <c r="B699" s="52"/>
      <c r="C699" s="53"/>
      <c r="D699" s="53"/>
    </row>
    <row r="700" ht="15.75" customHeight="1">
      <c r="B700" s="52"/>
      <c r="C700" s="53"/>
      <c r="D700" s="53"/>
    </row>
    <row r="701" ht="15.75" customHeight="1">
      <c r="B701" s="52"/>
      <c r="C701" s="53"/>
      <c r="D701" s="53"/>
    </row>
    <row r="702" ht="15.75" customHeight="1">
      <c r="B702" s="52"/>
      <c r="C702" s="53"/>
      <c r="D702" s="53"/>
    </row>
    <row r="703" ht="15.75" customHeight="1">
      <c r="B703" s="52"/>
      <c r="C703" s="53"/>
      <c r="D703" s="53"/>
    </row>
    <row r="704" ht="15.75" customHeight="1">
      <c r="B704" s="52"/>
      <c r="C704" s="53"/>
      <c r="D704" s="53"/>
    </row>
    <row r="705" ht="15.75" customHeight="1">
      <c r="B705" s="52"/>
      <c r="C705" s="53"/>
      <c r="D705" s="53"/>
    </row>
    <row r="706" ht="15.75" customHeight="1">
      <c r="B706" s="52"/>
      <c r="C706" s="53"/>
      <c r="D706" s="53"/>
    </row>
    <row r="707" ht="15.75" customHeight="1">
      <c r="B707" s="52"/>
      <c r="C707" s="53"/>
      <c r="D707" s="53"/>
    </row>
    <row r="708" ht="15.75" customHeight="1">
      <c r="B708" s="52"/>
      <c r="C708" s="53"/>
      <c r="D708" s="53"/>
    </row>
    <row r="709" ht="15.75" customHeight="1">
      <c r="B709" s="52"/>
      <c r="C709" s="53"/>
      <c r="D709" s="53"/>
    </row>
    <row r="710" ht="15.75" customHeight="1">
      <c r="B710" s="52"/>
      <c r="C710" s="53"/>
      <c r="D710" s="53"/>
    </row>
    <row r="711" ht="15.75" customHeight="1">
      <c r="B711" s="52"/>
      <c r="C711" s="53"/>
      <c r="D711" s="53"/>
    </row>
    <row r="712" ht="15.75" customHeight="1">
      <c r="B712" s="52"/>
      <c r="C712" s="53"/>
      <c r="D712" s="53"/>
    </row>
    <row r="713" ht="15.75" customHeight="1">
      <c r="B713" s="52"/>
      <c r="C713" s="53"/>
      <c r="D713" s="53"/>
    </row>
    <row r="714" ht="15.75" customHeight="1">
      <c r="B714" s="52"/>
      <c r="C714" s="53"/>
      <c r="D714" s="53"/>
    </row>
    <row r="715" ht="15.75" customHeight="1">
      <c r="B715" s="52"/>
      <c r="C715" s="53"/>
      <c r="D715" s="53"/>
    </row>
    <row r="716" ht="15.75" customHeight="1">
      <c r="B716" s="52"/>
      <c r="C716" s="53"/>
      <c r="D716" s="53"/>
    </row>
    <row r="717" ht="15.75" customHeight="1">
      <c r="B717" s="52"/>
      <c r="C717" s="53"/>
      <c r="D717" s="53"/>
    </row>
    <row r="718" ht="15.75" customHeight="1">
      <c r="B718" s="52"/>
      <c r="C718" s="53"/>
      <c r="D718" s="53"/>
    </row>
    <row r="719" ht="15.75" customHeight="1">
      <c r="B719" s="52"/>
      <c r="C719" s="53"/>
      <c r="D719" s="53"/>
    </row>
    <row r="720" ht="15.75" customHeight="1">
      <c r="B720" s="52"/>
      <c r="C720" s="53"/>
      <c r="D720" s="53"/>
    </row>
    <row r="721" ht="15.75" customHeight="1">
      <c r="B721" s="52"/>
      <c r="C721" s="53"/>
      <c r="D721" s="53"/>
    </row>
    <row r="722" ht="15.75" customHeight="1">
      <c r="B722" s="52"/>
      <c r="C722" s="53"/>
      <c r="D722" s="53"/>
    </row>
    <row r="723" ht="15.75" customHeight="1">
      <c r="B723" s="52"/>
      <c r="C723" s="53"/>
      <c r="D723" s="53"/>
    </row>
    <row r="724" ht="15.75" customHeight="1">
      <c r="B724" s="52"/>
      <c r="C724" s="53"/>
      <c r="D724" s="53"/>
    </row>
    <row r="725" ht="15.75" customHeight="1">
      <c r="B725" s="52"/>
      <c r="C725" s="53"/>
      <c r="D725" s="53"/>
    </row>
    <row r="726" ht="15.75" customHeight="1">
      <c r="B726" s="52"/>
      <c r="C726" s="53"/>
      <c r="D726" s="53"/>
    </row>
    <row r="727" ht="15.75" customHeight="1">
      <c r="B727" s="52"/>
      <c r="C727" s="53"/>
      <c r="D727" s="53"/>
    </row>
    <row r="728" ht="15.75" customHeight="1">
      <c r="B728" s="52"/>
      <c r="C728" s="53"/>
      <c r="D728" s="53"/>
    </row>
    <row r="729" ht="15.75" customHeight="1">
      <c r="B729" s="52"/>
      <c r="C729" s="53"/>
      <c r="D729" s="53"/>
    </row>
    <row r="730" ht="15.75" customHeight="1">
      <c r="B730" s="52"/>
      <c r="C730" s="53"/>
      <c r="D730" s="53"/>
    </row>
    <row r="731" ht="15.75" customHeight="1">
      <c r="B731" s="52"/>
      <c r="C731" s="53"/>
      <c r="D731" s="53"/>
    </row>
    <row r="732" ht="15.75" customHeight="1">
      <c r="B732" s="52"/>
      <c r="C732" s="53"/>
      <c r="D732" s="53"/>
    </row>
    <row r="733" ht="15.75" customHeight="1">
      <c r="B733" s="52"/>
      <c r="C733" s="53"/>
      <c r="D733" s="53"/>
    </row>
    <row r="734" ht="15.75" customHeight="1">
      <c r="B734" s="52"/>
      <c r="C734" s="53"/>
      <c r="D734" s="53"/>
    </row>
    <row r="735" ht="15.75" customHeight="1">
      <c r="B735" s="52"/>
      <c r="C735" s="53"/>
      <c r="D735" s="53"/>
    </row>
    <row r="736" ht="15.75" customHeight="1">
      <c r="B736" s="52"/>
      <c r="C736" s="53"/>
      <c r="D736" s="53"/>
    </row>
    <row r="737" ht="15.75" customHeight="1">
      <c r="B737" s="52"/>
      <c r="C737" s="53"/>
      <c r="D737" s="53"/>
    </row>
    <row r="738" ht="15.75" customHeight="1">
      <c r="B738" s="52"/>
      <c r="C738" s="53"/>
      <c r="D738" s="53"/>
    </row>
    <row r="739" ht="15.75" customHeight="1">
      <c r="B739" s="52"/>
      <c r="C739" s="53"/>
      <c r="D739" s="53"/>
    </row>
    <row r="740" ht="15.75" customHeight="1">
      <c r="B740" s="52"/>
      <c r="C740" s="53"/>
      <c r="D740" s="53"/>
    </row>
    <row r="741" ht="15.75" customHeight="1">
      <c r="B741" s="52"/>
      <c r="C741" s="53"/>
      <c r="D741" s="53"/>
    </row>
    <row r="742" ht="15.75" customHeight="1">
      <c r="B742" s="52"/>
      <c r="C742" s="53"/>
      <c r="D742" s="53"/>
    </row>
    <row r="743" ht="15.75" customHeight="1">
      <c r="B743" s="52"/>
      <c r="C743" s="53"/>
      <c r="D743" s="53"/>
    </row>
    <row r="744" ht="15.75" customHeight="1">
      <c r="B744" s="52"/>
      <c r="C744" s="53"/>
      <c r="D744" s="53"/>
    </row>
    <row r="745" ht="15.75" customHeight="1">
      <c r="B745" s="52"/>
      <c r="C745" s="53"/>
      <c r="D745" s="53"/>
    </row>
    <row r="746" ht="15.75" customHeight="1">
      <c r="B746" s="52"/>
      <c r="C746" s="53"/>
      <c r="D746" s="53"/>
    </row>
    <row r="747" ht="15.75" customHeight="1">
      <c r="B747" s="52"/>
      <c r="C747" s="53"/>
      <c r="D747" s="53"/>
    </row>
    <row r="748" ht="15.75" customHeight="1">
      <c r="B748" s="52"/>
      <c r="C748" s="53"/>
      <c r="D748" s="53"/>
    </row>
    <row r="749" ht="15.75" customHeight="1">
      <c r="B749" s="52"/>
      <c r="C749" s="53"/>
      <c r="D749" s="53"/>
    </row>
    <row r="750" ht="15.75" customHeight="1">
      <c r="B750" s="52"/>
      <c r="C750" s="53"/>
      <c r="D750" s="53"/>
    </row>
    <row r="751" ht="15.75" customHeight="1">
      <c r="B751" s="52"/>
      <c r="C751" s="53"/>
      <c r="D751" s="53"/>
    </row>
    <row r="752" ht="15.75" customHeight="1">
      <c r="B752" s="52"/>
      <c r="C752" s="53"/>
      <c r="D752" s="53"/>
    </row>
    <row r="753" ht="15.75" customHeight="1">
      <c r="B753" s="52"/>
      <c r="C753" s="53"/>
      <c r="D753" s="53"/>
    </row>
    <row r="754" ht="15.75" customHeight="1">
      <c r="B754" s="52"/>
      <c r="C754" s="53"/>
      <c r="D754" s="53"/>
    </row>
    <row r="755" ht="15.75" customHeight="1">
      <c r="B755" s="52"/>
      <c r="C755" s="53"/>
      <c r="D755" s="53"/>
    </row>
    <row r="756" ht="15.75" customHeight="1">
      <c r="B756" s="52"/>
      <c r="C756" s="53"/>
      <c r="D756" s="53"/>
    </row>
    <row r="757" ht="15.75" customHeight="1">
      <c r="B757" s="52"/>
      <c r="C757" s="53"/>
      <c r="D757" s="53"/>
    </row>
    <row r="758" ht="15.75" customHeight="1">
      <c r="B758" s="52"/>
      <c r="C758" s="53"/>
      <c r="D758" s="53"/>
    </row>
    <row r="759" ht="15.75" customHeight="1">
      <c r="B759" s="52"/>
      <c r="C759" s="53"/>
      <c r="D759" s="53"/>
    </row>
    <row r="760" ht="15.75" customHeight="1">
      <c r="B760" s="52"/>
      <c r="C760" s="53"/>
      <c r="D760" s="53"/>
    </row>
    <row r="761" ht="15.75" customHeight="1">
      <c r="B761" s="52"/>
      <c r="C761" s="53"/>
      <c r="D761" s="53"/>
    </row>
    <row r="762" ht="15.75" customHeight="1">
      <c r="B762" s="52"/>
      <c r="C762" s="53"/>
      <c r="D762" s="53"/>
    </row>
    <row r="763" ht="15.75" customHeight="1">
      <c r="B763" s="52"/>
      <c r="C763" s="53"/>
      <c r="D763" s="53"/>
    </row>
    <row r="764" ht="15.75" customHeight="1">
      <c r="B764" s="52"/>
      <c r="C764" s="53"/>
      <c r="D764" s="53"/>
    </row>
    <row r="765" ht="15.75" customHeight="1">
      <c r="B765" s="52"/>
      <c r="C765" s="53"/>
      <c r="D765" s="53"/>
    </row>
    <row r="766" ht="15.75" customHeight="1">
      <c r="B766" s="52"/>
      <c r="C766" s="53"/>
      <c r="D766" s="53"/>
    </row>
    <row r="767" ht="15.75" customHeight="1">
      <c r="B767" s="52"/>
      <c r="C767" s="53"/>
      <c r="D767" s="53"/>
    </row>
    <row r="768" ht="15.75" customHeight="1">
      <c r="B768" s="52"/>
      <c r="C768" s="53"/>
      <c r="D768" s="53"/>
    </row>
    <row r="769" ht="15.75" customHeight="1">
      <c r="B769" s="52"/>
      <c r="C769" s="53"/>
      <c r="D769" s="53"/>
    </row>
    <row r="770" ht="15.75" customHeight="1">
      <c r="B770" s="52"/>
      <c r="C770" s="53"/>
      <c r="D770" s="53"/>
    </row>
    <row r="771" ht="15.75" customHeight="1">
      <c r="B771" s="52"/>
      <c r="C771" s="53"/>
      <c r="D771" s="53"/>
    </row>
    <row r="772" ht="15.75" customHeight="1">
      <c r="B772" s="52"/>
      <c r="C772" s="53"/>
      <c r="D772" s="53"/>
    </row>
    <row r="773" ht="15.75" customHeight="1">
      <c r="B773" s="52"/>
      <c r="C773" s="53"/>
      <c r="D773" s="53"/>
    </row>
    <row r="774" ht="15.75" customHeight="1">
      <c r="B774" s="52"/>
      <c r="C774" s="53"/>
      <c r="D774" s="53"/>
    </row>
    <row r="775" ht="15.75" customHeight="1">
      <c r="B775" s="52"/>
      <c r="C775" s="53"/>
      <c r="D775" s="53"/>
    </row>
    <row r="776" ht="15.75" customHeight="1">
      <c r="B776" s="52"/>
      <c r="C776" s="53"/>
      <c r="D776" s="53"/>
    </row>
    <row r="777" ht="15.75" customHeight="1">
      <c r="B777" s="52"/>
      <c r="C777" s="53"/>
      <c r="D777" s="53"/>
    </row>
    <row r="778" ht="15.75" customHeight="1">
      <c r="B778" s="52"/>
      <c r="C778" s="53"/>
      <c r="D778" s="53"/>
    </row>
    <row r="779" ht="15.75" customHeight="1">
      <c r="B779" s="52"/>
      <c r="C779" s="53"/>
      <c r="D779" s="53"/>
    </row>
    <row r="780" ht="15.75" customHeight="1">
      <c r="B780" s="52"/>
      <c r="C780" s="53"/>
      <c r="D780" s="53"/>
    </row>
    <row r="781" ht="15.75" customHeight="1">
      <c r="B781" s="52"/>
      <c r="C781" s="53"/>
      <c r="D781" s="53"/>
    </row>
    <row r="782" ht="15.75" customHeight="1">
      <c r="B782" s="52"/>
      <c r="C782" s="53"/>
      <c r="D782" s="53"/>
    </row>
    <row r="783" ht="15.75" customHeight="1">
      <c r="B783" s="52"/>
      <c r="C783" s="53"/>
      <c r="D783" s="53"/>
    </row>
    <row r="784" ht="15.75" customHeight="1">
      <c r="B784" s="52"/>
      <c r="C784" s="53"/>
      <c r="D784" s="53"/>
    </row>
    <row r="785" ht="15.75" customHeight="1">
      <c r="B785" s="52"/>
      <c r="C785" s="53"/>
      <c r="D785" s="53"/>
    </row>
    <row r="786" ht="15.75" customHeight="1">
      <c r="B786" s="52"/>
      <c r="C786" s="53"/>
      <c r="D786" s="53"/>
    </row>
    <row r="787" ht="15.75" customHeight="1">
      <c r="B787" s="52"/>
      <c r="C787" s="53"/>
      <c r="D787" s="53"/>
    </row>
    <row r="788" ht="15.75" customHeight="1">
      <c r="B788" s="52"/>
      <c r="C788" s="53"/>
      <c r="D788" s="53"/>
    </row>
    <row r="789" ht="15.75" customHeight="1">
      <c r="B789" s="52"/>
      <c r="C789" s="53"/>
      <c r="D789" s="53"/>
    </row>
    <row r="790" ht="15.75" customHeight="1">
      <c r="B790" s="52"/>
      <c r="C790" s="53"/>
      <c r="D790" s="53"/>
    </row>
    <row r="791" ht="15.75" customHeight="1">
      <c r="B791" s="52"/>
      <c r="C791" s="53"/>
      <c r="D791" s="53"/>
    </row>
    <row r="792" ht="15.75" customHeight="1">
      <c r="B792" s="52"/>
      <c r="C792" s="53"/>
      <c r="D792" s="53"/>
    </row>
    <row r="793" ht="15.75" customHeight="1">
      <c r="B793" s="52"/>
      <c r="C793" s="53"/>
      <c r="D793" s="53"/>
    </row>
    <row r="794" ht="15.75" customHeight="1">
      <c r="B794" s="52"/>
      <c r="C794" s="53"/>
      <c r="D794" s="53"/>
    </row>
    <row r="795" ht="15.75" customHeight="1">
      <c r="B795" s="52"/>
      <c r="C795" s="53"/>
      <c r="D795" s="53"/>
    </row>
    <row r="796" ht="15.75" customHeight="1">
      <c r="B796" s="52"/>
      <c r="C796" s="53"/>
      <c r="D796" s="53"/>
    </row>
    <row r="797" ht="15.75" customHeight="1">
      <c r="B797" s="52"/>
      <c r="C797" s="53"/>
      <c r="D797" s="53"/>
    </row>
    <row r="798" ht="15.75" customHeight="1">
      <c r="B798" s="52"/>
      <c r="C798" s="53"/>
      <c r="D798" s="53"/>
    </row>
    <row r="799" ht="15.75" customHeight="1">
      <c r="B799" s="52"/>
      <c r="C799" s="53"/>
      <c r="D799" s="53"/>
    </row>
    <row r="800" ht="15.75" customHeight="1">
      <c r="B800" s="52"/>
      <c r="C800" s="53"/>
      <c r="D800" s="53"/>
    </row>
    <row r="801" ht="15.75" customHeight="1">
      <c r="B801" s="52"/>
      <c r="C801" s="53"/>
      <c r="D801" s="53"/>
    </row>
    <row r="802" ht="15.75" customHeight="1">
      <c r="B802" s="52"/>
      <c r="C802" s="53"/>
      <c r="D802" s="53"/>
    </row>
    <row r="803" ht="15.75" customHeight="1">
      <c r="B803" s="52"/>
      <c r="C803" s="53"/>
      <c r="D803" s="53"/>
    </row>
    <row r="804" ht="15.75" customHeight="1">
      <c r="B804" s="52"/>
      <c r="C804" s="53"/>
      <c r="D804" s="53"/>
    </row>
    <row r="805" ht="15.75" customHeight="1">
      <c r="B805" s="52"/>
      <c r="C805" s="53"/>
      <c r="D805" s="53"/>
    </row>
    <row r="806" ht="15.75" customHeight="1">
      <c r="B806" s="52"/>
      <c r="C806" s="53"/>
      <c r="D806" s="53"/>
    </row>
    <row r="807" ht="15.75" customHeight="1">
      <c r="B807" s="52"/>
      <c r="C807" s="53"/>
      <c r="D807" s="53"/>
    </row>
    <row r="808" ht="15.75" customHeight="1">
      <c r="B808" s="52"/>
      <c r="C808" s="53"/>
      <c r="D808" s="53"/>
    </row>
    <row r="809" ht="15.75" customHeight="1">
      <c r="B809" s="52"/>
      <c r="C809" s="53"/>
      <c r="D809" s="53"/>
    </row>
    <row r="810" ht="15.75" customHeight="1">
      <c r="B810" s="52"/>
      <c r="C810" s="53"/>
      <c r="D810" s="53"/>
    </row>
    <row r="811" ht="15.75" customHeight="1">
      <c r="B811" s="52"/>
      <c r="C811" s="53"/>
      <c r="D811" s="53"/>
    </row>
    <row r="812" ht="15.75" customHeight="1">
      <c r="B812" s="52"/>
      <c r="C812" s="53"/>
      <c r="D812" s="53"/>
    </row>
    <row r="813" ht="15.75" customHeight="1">
      <c r="B813" s="52"/>
      <c r="C813" s="53"/>
      <c r="D813" s="53"/>
    </row>
    <row r="814" ht="15.75" customHeight="1">
      <c r="B814" s="52"/>
      <c r="C814" s="53"/>
      <c r="D814" s="53"/>
    </row>
    <row r="815" ht="15.75" customHeight="1">
      <c r="B815" s="52"/>
      <c r="C815" s="53"/>
      <c r="D815" s="53"/>
    </row>
    <row r="816" ht="15.75" customHeight="1">
      <c r="B816" s="52"/>
      <c r="C816" s="53"/>
      <c r="D816" s="53"/>
    </row>
    <row r="817" ht="15.75" customHeight="1">
      <c r="B817" s="52"/>
      <c r="C817" s="53"/>
      <c r="D817" s="53"/>
    </row>
    <row r="818" ht="15.75" customHeight="1">
      <c r="B818" s="52"/>
      <c r="C818" s="53"/>
      <c r="D818" s="53"/>
    </row>
    <row r="819" ht="15.75" customHeight="1">
      <c r="B819" s="52"/>
      <c r="C819" s="53"/>
      <c r="D819" s="53"/>
    </row>
    <row r="820" ht="15.75" customHeight="1">
      <c r="B820" s="52"/>
      <c r="C820" s="53"/>
      <c r="D820" s="53"/>
    </row>
    <row r="821" ht="15.75" customHeight="1">
      <c r="B821" s="52"/>
      <c r="C821" s="53"/>
      <c r="D821" s="53"/>
    </row>
    <row r="822" ht="15.75" customHeight="1">
      <c r="B822" s="52"/>
      <c r="C822" s="53"/>
      <c r="D822" s="53"/>
    </row>
    <row r="823" ht="15.75" customHeight="1">
      <c r="B823" s="52"/>
      <c r="C823" s="53"/>
      <c r="D823" s="53"/>
    </row>
    <row r="824" ht="15.75" customHeight="1">
      <c r="B824" s="52"/>
      <c r="C824" s="53"/>
      <c r="D824" s="53"/>
    </row>
    <row r="825" ht="15.75" customHeight="1">
      <c r="B825" s="52"/>
      <c r="C825" s="53"/>
      <c r="D825" s="53"/>
    </row>
    <row r="826" ht="15.75" customHeight="1">
      <c r="B826" s="52"/>
      <c r="C826" s="53"/>
      <c r="D826" s="53"/>
    </row>
    <row r="827" ht="15.75" customHeight="1">
      <c r="B827" s="52"/>
      <c r="C827" s="53"/>
      <c r="D827" s="53"/>
    </row>
    <row r="828" ht="15.75" customHeight="1">
      <c r="B828" s="52"/>
      <c r="C828" s="53"/>
      <c r="D828" s="53"/>
    </row>
    <row r="829" ht="15.75" customHeight="1">
      <c r="B829" s="52"/>
      <c r="C829" s="53"/>
      <c r="D829" s="53"/>
    </row>
    <row r="830" ht="15.75" customHeight="1">
      <c r="B830" s="52"/>
      <c r="C830" s="53"/>
      <c r="D830" s="53"/>
    </row>
    <row r="831" ht="15.75" customHeight="1">
      <c r="B831" s="52"/>
      <c r="C831" s="53"/>
      <c r="D831" s="53"/>
    </row>
    <row r="832" ht="15.75" customHeight="1">
      <c r="B832" s="52"/>
      <c r="C832" s="53"/>
      <c r="D832" s="53"/>
    </row>
    <row r="833" ht="15.75" customHeight="1">
      <c r="B833" s="52"/>
      <c r="C833" s="53"/>
      <c r="D833" s="53"/>
    </row>
    <row r="834" ht="15.75" customHeight="1">
      <c r="B834" s="52"/>
      <c r="C834" s="53"/>
      <c r="D834" s="53"/>
    </row>
    <row r="835" ht="15.75" customHeight="1">
      <c r="B835" s="52"/>
      <c r="C835" s="53"/>
      <c r="D835" s="53"/>
    </row>
    <row r="836" ht="15.75" customHeight="1">
      <c r="B836" s="52"/>
      <c r="C836" s="53"/>
      <c r="D836" s="53"/>
    </row>
    <row r="837" ht="15.75" customHeight="1">
      <c r="B837" s="52"/>
      <c r="C837" s="53"/>
      <c r="D837" s="53"/>
    </row>
    <row r="838" ht="15.75" customHeight="1">
      <c r="B838" s="52"/>
      <c r="C838" s="53"/>
      <c r="D838" s="53"/>
    </row>
    <row r="839" ht="15.75" customHeight="1">
      <c r="B839" s="52"/>
      <c r="C839" s="53"/>
      <c r="D839" s="53"/>
    </row>
    <row r="840" ht="15.75" customHeight="1">
      <c r="B840" s="52"/>
      <c r="C840" s="53"/>
      <c r="D840" s="53"/>
    </row>
    <row r="841" ht="15.75" customHeight="1">
      <c r="B841" s="52"/>
      <c r="C841" s="53"/>
      <c r="D841" s="53"/>
    </row>
    <row r="842" ht="15.75" customHeight="1">
      <c r="B842" s="52"/>
      <c r="C842" s="53"/>
      <c r="D842" s="53"/>
    </row>
    <row r="843" ht="15.75" customHeight="1">
      <c r="B843" s="52"/>
      <c r="C843" s="53"/>
      <c r="D843" s="53"/>
    </row>
    <row r="844" ht="15.75" customHeight="1">
      <c r="B844" s="52"/>
      <c r="C844" s="53"/>
      <c r="D844" s="53"/>
    </row>
    <row r="845" ht="15.75" customHeight="1">
      <c r="B845" s="52"/>
      <c r="C845" s="53"/>
      <c r="D845" s="53"/>
    </row>
    <row r="846" ht="15.75" customHeight="1">
      <c r="B846" s="52"/>
      <c r="C846" s="53"/>
      <c r="D846" s="53"/>
    </row>
    <row r="847" ht="15.75" customHeight="1">
      <c r="B847" s="52"/>
      <c r="C847" s="53"/>
      <c r="D847" s="53"/>
    </row>
    <row r="848" ht="15.75" customHeight="1">
      <c r="B848" s="52"/>
      <c r="C848" s="53"/>
      <c r="D848" s="53"/>
    </row>
    <row r="849" ht="15.75" customHeight="1">
      <c r="B849" s="52"/>
      <c r="C849" s="53"/>
      <c r="D849" s="53"/>
    </row>
    <row r="850" ht="15.75" customHeight="1">
      <c r="B850" s="52"/>
      <c r="C850" s="53"/>
      <c r="D850" s="53"/>
    </row>
    <row r="851" ht="15.75" customHeight="1">
      <c r="B851" s="52"/>
      <c r="C851" s="53"/>
      <c r="D851" s="53"/>
    </row>
    <row r="852" ht="15.75" customHeight="1">
      <c r="B852" s="52"/>
      <c r="C852" s="53"/>
      <c r="D852" s="53"/>
    </row>
    <row r="853" ht="15.75" customHeight="1">
      <c r="B853" s="52"/>
      <c r="C853" s="53"/>
      <c r="D853" s="53"/>
    </row>
    <row r="854" ht="15.75" customHeight="1">
      <c r="B854" s="52"/>
      <c r="C854" s="53"/>
      <c r="D854" s="53"/>
    </row>
    <row r="855" ht="15.75" customHeight="1">
      <c r="B855" s="52"/>
      <c r="C855" s="53"/>
      <c r="D855" s="53"/>
    </row>
    <row r="856" ht="15.75" customHeight="1">
      <c r="B856" s="52"/>
      <c r="C856" s="53"/>
      <c r="D856" s="53"/>
    </row>
    <row r="857" ht="15.75" customHeight="1">
      <c r="B857" s="52"/>
      <c r="C857" s="53"/>
      <c r="D857" s="53"/>
    </row>
    <row r="858" ht="15.75" customHeight="1">
      <c r="B858" s="52"/>
      <c r="C858" s="53"/>
      <c r="D858" s="53"/>
    </row>
    <row r="859" ht="15.75" customHeight="1">
      <c r="B859" s="52"/>
      <c r="C859" s="53"/>
      <c r="D859" s="53"/>
    </row>
    <row r="860" ht="15.75" customHeight="1">
      <c r="B860" s="52"/>
      <c r="C860" s="53"/>
      <c r="D860" s="53"/>
    </row>
    <row r="861" ht="15.75" customHeight="1">
      <c r="B861" s="52"/>
      <c r="C861" s="53"/>
      <c r="D861" s="53"/>
    </row>
    <row r="862" ht="15.75" customHeight="1">
      <c r="B862" s="52"/>
      <c r="C862" s="53"/>
      <c r="D862" s="53"/>
    </row>
    <row r="863" ht="15.75" customHeight="1">
      <c r="B863" s="52"/>
      <c r="C863" s="53"/>
      <c r="D863" s="53"/>
    </row>
    <row r="864" ht="15.75" customHeight="1">
      <c r="B864" s="52"/>
      <c r="C864" s="53"/>
      <c r="D864" s="53"/>
    </row>
    <row r="865" ht="15.75" customHeight="1">
      <c r="B865" s="52"/>
      <c r="C865" s="53"/>
      <c r="D865" s="53"/>
    </row>
    <row r="866" ht="15.75" customHeight="1">
      <c r="B866" s="52"/>
      <c r="C866" s="53"/>
      <c r="D866" s="53"/>
    </row>
    <row r="867" ht="15.75" customHeight="1">
      <c r="B867" s="52"/>
      <c r="C867" s="53"/>
      <c r="D867" s="53"/>
    </row>
    <row r="868" ht="15.75" customHeight="1">
      <c r="B868" s="52"/>
      <c r="C868" s="53"/>
      <c r="D868" s="53"/>
    </row>
    <row r="869" ht="15.75" customHeight="1">
      <c r="B869" s="52"/>
      <c r="C869" s="53"/>
      <c r="D869" s="53"/>
    </row>
    <row r="870" ht="15.75" customHeight="1">
      <c r="B870" s="52"/>
      <c r="C870" s="53"/>
      <c r="D870" s="53"/>
    </row>
    <row r="871" ht="15.75" customHeight="1">
      <c r="B871" s="52"/>
      <c r="C871" s="53"/>
      <c r="D871" s="53"/>
    </row>
    <row r="872" ht="15.75" customHeight="1">
      <c r="B872" s="52"/>
      <c r="C872" s="53"/>
      <c r="D872" s="53"/>
    </row>
    <row r="873" ht="15.75" customHeight="1">
      <c r="B873" s="52"/>
      <c r="C873" s="53"/>
      <c r="D873" s="53"/>
    </row>
    <row r="874" ht="15.75" customHeight="1">
      <c r="B874" s="52"/>
      <c r="C874" s="53"/>
      <c r="D874" s="53"/>
    </row>
    <row r="875" ht="15.75" customHeight="1">
      <c r="B875" s="52"/>
      <c r="C875" s="53"/>
      <c r="D875" s="53"/>
    </row>
    <row r="876" ht="15.75" customHeight="1">
      <c r="B876" s="52"/>
      <c r="C876" s="53"/>
      <c r="D876" s="53"/>
    </row>
    <row r="877" ht="15.75" customHeight="1">
      <c r="B877" s="52"/>
      <c r="C877" s="53"/>
      <c r="D877" s="53"/>
    </row>
    <row r="878" ht="15.75" customHeight="1">
      <c r="B878" s="52"/>
      <c r="C878" s="53"/>
      <c r="D878" s="53"/>
    </row>
    <row r="879" ht="15.75" customHeight="1">
      <c r="B879" s="52"/>
      <c r="C879" s="53"/>
      <c r="D879" s="53"/>
    </row>
    <row r="880" ht="15.75" customHeight="1">
      <c r="B880" s="52"/>
      <c r="C880" s="53"/>
      <c r="D880" s="53"/>
    </row>
    <row r="881" ht="15.75" customHeight="1">
      <c r="B881" s="52"/>
      <c r="C881" s="53"/>
      <c r="D881" s="53"/>
    </row>
    <row r="882" ht="15.75" customHeight="1">
      <c r="B882" s="52"/>
      <c r="C882" s="53"/>
      <c r="D882" s="53"/>
    </row>
    <row r="883" ht="15.75" customHeight="1">
      <c r="B883" s="52"/>
      <c r="C883" s="53"/>
      <c r="D883" s="53"/>
    </row>
    <row r="884" ht="15.75" customHeight="1">
      <c r="B884" s="52"/>
      <c r="C884" s="53"/>
      <c r="D884" s="53"/>
    </row>
    <row r="885" ht="15.75" customHeight="1">
      <c r="B885" s="52"/>
      <c r="C885" s="53"/>
      <c r="D885" s="53"/>
    </row>
    <row r="886" ht="15.75" customHeight="1">
      <c r="B886" s="52"/>
      <c r="C886" s="53"/>
      <c r="D886" s="53"/>
    </row>
    <row r="887" ht="15.75" customHeight="1">
      <c r="B887" s="52"/>
      <c r="C887" s="53"/>
      <c r="D887" s="53"/>
    </row>
    <row r="888" ht="15.75" customHeight="1">
      <c r="B888" s="52"/>
      <c r="C888" s="53"/>
      <c r="D888" s="53"/>
    </row>
    <row r="889" ht="15.75" customHeight="1">
      <c r="B889" s="52"/>
      <c r="C889" s="53"/>
      <c r="D889" s="53"/>
    </row>
    <row r="890" ht="15.75" customHeight="1">
      <c r="B890" s="52"/>
      <c r="C890" s="53"/>
      <c r="D890" s="53"/>
    </row>
    <row r="891" ht="15.75" customHeight="1">
      <c r="B891" s="52"/>
      <c r="C891" s="53"/>
      <c r="D891" s="53"/>
    </row>
    <row r="892" ht="15.75" customHeight="1">
      <c r="B892" s="52"/>
      <c r="C892" s="53"/>
      <c r="D892" s="53"/>
    </row>
    <row r="893" ht="15.75" customHeight="1">
      <c r="B893" s="52"/>
      <c r="C893" s="53"/>
      <c r="D893" s="53"/>
    </row>
    <row r="894" ht="15.75" customHeight="1">
      <c r="B894" s="52"/>
      <c r="C894" s="53"/>
      <c r="D894" s="53"/>
    </row>
    <row r="895" ht="15.75" customHeight="1">
      <c r="B895" s="52"/>
      <c r="C895" s="53"/>
      <c r="D895" s="53"/>
    </row>
    <row r="896" ht="15.75" customHeight="1">
      <c r="B896" s="52"/>
      <c r="C896" s="53"/>
      <c r="D896" s="53"/>
    </row>
    <row r="897" ht="15.75" customHeight="1">
      <c r="B897" s="52"/>
      <c r="C897" s="53"/>
      <c r="D897" s="53"/>
    </row>
    <row r="898" ht="15.75" customHeight="1">
      <c r="B898" s="52"/>
      <c r="C898" s="53"/>
      <c r="D898" s="53"/>
    </row>
    <row r="899" ht="15.75" customHeight="1">
      <c r="B899" s="52"/>
      <c r="C899" s="53"/>
      <c r="D899" s="53"/>
    </row>
    <row r="900" ht="15.75" customHeight="1">
      <c r="B900" s="52"/>
      <c r="C900" s="53"/>
      <c r="D900" s="53"/>
    </row>
    <row r="901" ht="15.75" customHeight="1">
      <c r="B901" s="52"/>
      <c r="C901" s="53"/>
      <c r="D901" s="53"/>
    </row>
    <row r="902" ht="15.75" customHeight="1">
      <c r="B902" s="52"/>
      <c r="C902" s="53"/>
      <c r="D902" s="53"/>
    </row>
    <row r="903" ht="15.75" customHeight="1">
      <c r="B903" s="52"/>
      <c r="C903" s="53"/>
      <c r="D903" s="53"/>
    </row>
    <row r="904" ht="15.75" customHeight="1">
      <c r="B904" s="52"/>
      <c r="C904" s="53"/>
      <c r="D904" s="53"/>
    </row>
    <row r="905" ht="15.75" customHeight="1">
      <c r="B905" s="52"/>
      <c r="C905" s="53"/>
      <c r="D905" s="53"/>
    </row>
    <row r="906" ht="15.75" customHeight="1">
      <c r="B906" s="52"/>
      <c r="C906" s="53"/>
      <c r="D906" s="53"/>
    </row>
    <row r="907" ht="15.75" customHeight="1">
      <c r="B907" s="52"/>
      <c r="C907" s="53"/>
      <c r="D907" s="53"/>
    </row>
    <row r="908" ht="15.75" customHeight="1">
      <c r="B908" s="52"/>
      <c r="C908" s="53"/>
      <c r="D908" s="53"/>
    </row>
    <row r="909" ht="15.75" customHeight="1">
      <c r="B909" s="52"/>
      <c r="C909" s="53"/>
      <c r="D909" s="53"/>
    </row>
    <row r="910" ht="15.75" customHeight="1">
      <c r="B910" s="52"/>
      <c r="C910" s="53"/>
      <c r="D910" s="53"/>
    </row>
    <row r="911" ht="15.75" customHeight="1">
      <c r="B911" s="52"/>
      <c r="C911" s="53"/>
      <c r="D911" s="53"/>
    </row>
    <row r="912" ht="15.75" customHeight="1">
      <c r="B912" s="52"/>
      <c r="C912" s="53"/>
      <c r="D912" s="53"/>
    </row>
    <row r="913" ht="15.75" customHeight="1">
      <c r="B913" s="52"/>
      <c r="C913" s="53"/>
      <c r="D913" s="53"/>
    </row>
    <row r="914" ht="15.75" customHeight="1">
      <c r="B914" s="52"/>
      <c r="C914" s="53"/>
      <c r="D914" s="53"/>
    </row>
    <row r="915" ht="15.75" customHeight="1">
      <c r="B915" s="52"/>
      <c r="C915" s="53"/>
      <c r="D915" s="53"/>
    </row>
    <row r="916" ht="15.75" customHeight="1">
      <c r="B916" s="52"/>
      <c r="C916" s="53"/>
      <c r="D916" s="53"/>
    </row>
    <row r="917" ht="15.75" customHeight="1">
      <c r="B917" s="52"/>
      <c r="C917" s="53"/>
      <c r="D917" s="53"/>
    </row>
    <row r="918" ht="15.75" customHeight="1">
      <c r="B918" s="52"/>
      <c r="C918" s="53"/>
      <c r="D918" s="53"/>
    </row>
    <row r="919" ht="15.75" customHeight="1">
      <c r="B919" s="52"/>
      <c r="C919" s="53"/>
      <c r="D919" s="53"/>
    </row>
    <row r="920" ht="15.75" customHeight="1">
      <c r="B920" s="52"/>
      <c r="C920" s="53"/>
      <c r="D920" s="53"/>
    </row>
    <row r="921" ht="15.75" customHeight="1">
      <c r="B921" s="52"/>
      <c r="C921" s="53"/>
      <c r="D921" s="53"/>
    </row>
    <row r="922" ht="15.75" customHeight="1">
      <c r="B922" s="52"/>
      <c r="C922" s="53"/>
      <c r="D922" s="53"/>
    </row>
    <row r="923" ht="15.75" customHeight="1">
      <c r="B923" s="52"/>
      <c r="C923" s="53"/>
      <c r="D923" s="53"/>
    </row>
    <row r="924" ht="15.75" customHeight="1">
      <c r="B924" s="52"/>
      <c r="C924" s="53"/>
      <c r="D924" s="53"/>
    </row>
    <row r="925" ht="15.75" customHeight="1">
      <c r="B925" s="52"/>
      <c r="C925" s="53"/>
      <c r="D925" s="53"/>
    </row>
    <row r="926" ht="15.75" customHeight="1">
      <c r="B926" s="52"/>
      <c r="C926" s="53"/>
      <c r="D926" s="53"/>
    </row>
    <row r="927" ht="15.75" customHeight="1">
      <c r="B927" s="52"/>
      <c r="C927" s="53"/>
      <c r="D927" s="53"/>
    </row>
    <row r="928" ht="15.75" customHeight="1">
      <c r="B928" s="52"/>
      <c r="C928" s="53"/>
      <c r="D928" s="53"/>
    </row>
    <row r="929" ht="15.75" customHeight="1">
      <c r="B929" s="52"/>
      <c r="C929" s="53"/>
      <c r="D929" s="53"/>
    </row>
    <row r="930" ht="15.75" customHeight="1">
      <c r="B930" s="52"/>
      <c r="C930" s="53"/>
      <c r="D930" s="53"/>
    </row>
    <row r="931" ht="15.75" customHeight="1">
      <c r="B931" s="52"/>
      <c r="C931" s="53"/>
      <c r="D931" s="53"/>
    </row>
    <row r="932" ht="15.75" customHeight="1">
      <c r="B932" s="52"/>
      <c r="C932" s="53"/>
      <c r="D932" s="53"/>
    </row>
    <row r="933" ht="15.75" customHeight="1">
      <c r="B933" s="52"/>
      <c r="C933" s="53"/>
      <c r="D933" s="53"/>
    </row>
    <row r="934" ht="15.75" customHeight="1">
      <c r="B934" s="52"/>
      <c r="C934" s="53"/>
      <c r="D934" s="53"/>
    </row>
    <row r="935" ht="15.75" customHeight="1">
      <c r="B935" s="52"/>
      <c r="C935" s="53"/>
      <c r="D935" s="53"/>
    </row>
    <row r="936" ht="15.75" customHeight="1">
      <c r="B936" s="52"/>
      <c r="C936" s="53"/>
      <c r="D936" s="53"/>
    </row>
    <row r="937" ht="15.75" customHeight="1">
      <c r="B937" s="52"/>
      <c r="C937" s="53"/>
      <c r="D937" s="53"/>
    </row>
    <row r="938" ht="15.75" customHeight="1">
      <c r="B938" s="52"/>
      <c r="C938" s="53"/>
      <c r="D938" s="53"/>
    </row>
    <row r="939" ht="15.75" customHeight="1">
      <c r="B939" s="52"/>
      <c r="C939" s="53"/>
      <c r="D939" s="53"/>
    </row>
    <row r="940" ht="15.75" customHeight="1">
      <c r="B940" s="52"/>
      <c r="C940" s="53"/>
      <c r="D940" s="53"/>
    </row>
    <row r="941" ht="15.75" customHeight="1">
      <c r="B941" s="52"/>
      <c r="C941" s="53"/>
      <c r="D941" s="53"/>
    </row>
    <row r="942" ht="15.75" customHeight="1">
      <c r="B942" s="52"/>
      <c r="C942" s="53"/>
      <c r="D942" s="53"/>
    </row>
    <row r="943" ht="15.75" customHeight="1">
      <c r="B943" s="52"/>
      <c r="C943" s="53"/>
      <c r="D943" s="53"/>
    </row>
    <row r="944" ht="15.75" customHeight="1">
      <c r="B944" s="52"/>
      <c r="C944" s="53"/>
      <c r="D944" s="53"/>
    </row>
    <row r="945" ht="15.75" customHeight="1">
      <c r="B945" s="52"/>
      <c r="C945" s="53"/>
      <c r="D945" s="53"/>
    </row>
    <row r="946" ht="15.75" customHeight="1">
      <c r="B946" s="52"/>
      <c r="C946" s="53"/>
      <c r="D946" s="53"/>
    </row>
    <row r="947" ht="15.75" customHeight="1">
      <c r="B947" s="52"/>
      <c r="C947" s="53"/>
      <c r="D947" s="53"/>
    </row>
    <row r="948" ht="15.75" customHeight="1">
      <c r="B948" s="52"/>
      <c r="C948" s="53"/>
      <c r="D948" s="53"/>
    </row>
    <row r="949" ht="15.75" customHeight="1">
      <c r="B949" s="52"/>
      <c r="C949" s="53"/>
      <c r="D949" s="53"/>
    </row>
    <row r="950" ht="15.75" customHeight="1">
      <c r="B950" s="52"/>
      <c r="C950" s="53"/>
      <c r="D950" s="53"/>
    </row>
    <row r="951" ht="15.75" customHeight="1">
      <c r="B951" s="52"/>
      <c r="C951" s="53"/>
      <c r="D951" s="53"/>
    </row>
    <row r="952" ht="15.75" customHeight="1">
      <c r="B952" s="52"/>
      <c r="C952" s="53"/>
      <c r="D952" s="53"/>
    </row>
    <row r="953" ht="15.75" customHeight="1">
      <c r="B953" s="52"/>
      <c r="C953" s="53"/>
      <c r="D953" s="53"/>
    </row>
    <row r="954" ht="15.75" customHeight="1">
      <c r="B954" s="52"/>
      <c r="C954" s="53"/>
      <c r="D954" s="53"/>
    </row>
    <row r="955" ht="15.75" customHeight="1">
      <c r="B955" s="52"/>
      <c r="C955" s="53"/>
      <c r="D955" s="53"/>
    </row>
    <row r="956" ht="15.75" customHeight="1">
      <c r="B956" s="52"/>
      <c r="C956" s="53"/>
      <c r="D956" s="53"/>
    </row>
    <row r="957" ht="15.75" customHeight="1">
      <c r="B957" s="52"/>
      <c r="C957" s="53"/>
      <c r="D957" s="53"/>
    </row>
    <row r="958" ht="15.75" customHeight="1">
      <c r="B958" s="52"/>
      <c r="C958" s="53"/>
      <c r="D958" s="53"/>
    </row>
    <row r="959" ht="15.75" customHeight="1">
      <c r="B959" s="52"/>
      <c r="C959" s="53"/>
      <c r="D959" s="53"/>
    </row>
    <row r="960" ht="15.75" customHeight="1">
      <c r="B960" s="52"/>
      <c r="C960" s="53"/>
      <c r="D960" s="53"/>
    </row>
    <row r="961" ht="15.75" customHeight="1">
      <c r="B961" s="52"/>
      <c r="C961" s="53"/>
      <c r="D961" s="53"/>
    </row>
    <row r="962" ht="15.75" customHeight="1">
      <c r="B962" s="52"/>
      <c r="C962" s="53"/>
      <c r="D962" s="53"/>
    </row>
    <row r="963" ht="15.75" customHeight="1">
      <c r="B963" s="52"/>
      <c r="C963" s="53"/>
      <c r="D963" s="53"/>
    </row>
    <row r="964" ht="15.75" customHeight="1">
      <c r="B964" s="52"/>
      <c r="C964" s="53"/>
      <c r="D964" s="53"/>
    </row>
    <row r="965" ht="15.75" customHeight="1">
      <c r="B965" s="52"/>
      <c r="C965" s="53"/>
      <c r="D965" s="53"/>
    </row>
    <row r="966" ht="15.75" customHeight="1">
      <c r="B966" s="52"/>
      <c r="C966" s="53"/>
      <c r="D966" s="53"/>
    </row>
    <row r="967" ht="15.75" customHeight="1">
      <c r="B967" s="52"/>
      <c r="C967" s="53"/>
      <c r="D967" s="53"/>
    </row>
    <row r="968" ht="15.75" customHeight="1">
      <c r="B968" s="52"/>
      <c r="C968" s="53"/>
      <c r="D968" s="53"/>
    </row>
    <row r="969" ht="15.75" customHeight="1">
      <c r="B969" s="52"/>
      <c r="C969" s="53"/>
      <c r="D969" s="53"/>
    </row>
    <row r="970" ht="15.75" customHeight="1">
      <c r="B970" s="52"/>
      <c r="C970" s="53"/>
      <c r="D970" s="53"/>
    </row>
    <row r="971" ht="15.75" customHeight="1">
      <c r="B971" s="52"/>
      <c r="C971" s="53"/>
      <c r="D971" s="53"/>
    </row>
    <row r="972" ht="15.75" customHeight="1">
      <c r="B972" s="52"/>
      <c r="C972" s="53"/>
      <c r="D972" s="53"/>
    </row>
    <row r="973" ht="15.75" customHeight="1">
      <c r="B973" s="52"/>
      <c r="C973" s="53"/>
      <c r="D973" s="53"/>
    </row>
    <row r="974" ht="15.75" customHeight="1">
      <c r="B974" s="52"/>
      <c r="C974" s="53"/>
      <c r="D974" s="53"/>
    </row>
    <row r="975" ht="15.75" customHeight="1">
      <c r="B975" s="52"/>
      <c r="C975" s="53"/>
      <c r="D975" s="53"/>
    </row>
    <row r="976" ht="15.75" customHeight="1">
      <c r="B976" s="52"/>
      <c r="C976" s="53"/>
      <c r="D976" s="53"/>
    </row>
    <row r="977" ht="15.75" customHeight="1">
      <c r="B977" s="52"/>
      <c r="C977" s="53"/>
      <c r="D977" s="53"/>
    </row>
    <row r="978" ht="15.75" customHeight="1">
      <c r="B978" s="52"/>
      <c r="C978" s="53"/>
      <c r="D978" s="53"/>
    </row>
    <row r="979" ht="15.75" customHeight="1">
      <c r="B979" s="52"/>
      <c r="C979" s="53"/>
      <c r="D979" s="53"/>
    </row>
    <row r="980" ht="15.75" customHeight="1">
      <c r="B980" s="52"/>
      <c r="C980" s="53"/>
      <c r="D980" s="53"/>
    </row>
    <row r="981" ht="15.75" customHeight="1">
      <c r="B981" s="52"/>
      <c r="C981" s="53"/>
      <c r="D981" s="53"/>
    </row>
    <row r="982" ht="15.75" customHeight="1">
      <c r="B982" s="52"/>
      <c r="C982" s="53"/>
      <c r="D982" s="53"/>
    </row>
    <row r="983" ht="15.75" customHeight="1">
      <c r="B983" s="52"/>
      <c r="C983" s="53"/>
      <c r="D983" s="53"/>
    </row>
    <row r="984" ht="15.75" customHeight="1">
      <c r="B984" s="52"/>
      <c r="C984" s="53"/>
      <c r="D984" s="53"/>
    </row>
    <row r="985" ht="15.75" customHeight="1">
      <c r="B985" s="52"/>
      <c r="C985" s="53"/>
      <c r="D985" s="53"/>
    </row>
    <row r="986" ht="15.75" customHeight="1">
      <c r="B986" s="52"/>
      <c r="C986" s="53"/>
      <c r="D986" s="53"/>
    </row>
    <row r="987" ht="15.75" customHeight="1">
      <c r="B987" s="52"/>
      <c r="C987" s="53"/>
      <c r="D987" s="53"/>
    </row>
    <row r="988" ht="15.75" customHeight="1">
      <c r="B988" s="52"/>
      <c r="C988" s="53"/>
      <c r="D988" s="53"/>
    </row>
    <row r="989" ht="15.75" customHeight="1">
      <c r="B989" s="52"/>
      <c r="C989" s="53"/>
      <c r="D989" s="53"/>
    </row>
    <row r="990" ht="15.75" customHeight="1">
      <c r="B990" s="52"/>
      <c r="C990" s="53"/>
      <c r="D990" s="53"/>
    </row>
    <row r="991" ht="15.75" customHeight="1">
      <c r="B991" s="52"/>
      <c r="C991" s="53"/>
      <c r="D991" s="53"/>
    </row>
    <row r="992" ht="15.75" customHeight="1">
      <c r="B992" s="52"/>
      <c r="C992" s="53"/>
      <c r="D992" s="53"/>
    </row>
    <row r="993" ht="15.75" customHeight="1">
      <c r="B993" s="52"/>
      <c r="C993" s="53"/>
      <c r="D993" s="53"/>
    </row>
    <row r="994" ht="15.75" customHeight="1">
      <c r="B994" s="52"/>
      <c r="C994" s="53"/>
      <c r="D994" s="53"/>
    </row>
    <row r="995" ht="15.75" customHeight="1">
      <c r="B995" s="52"/>
      <c r="C995" s="53"/>
      <c r="D995" s="53"/>
    </row>
    <row r="996" ht="15.75" customHeight="1">
      <c r="B996" s="52"/>
      <c r="C996" s="53"/>
      <c r="D996" s="53"/>
    </row>
    <row r="997" ht="15.75" customHeight="1">
      <c r="B997" s="52"/>
      <c r="C997" s="53"/>
      <c r="D997" s="53"/>
    </row>
    <row r="998" ht="15.75" customHeight="1">
      <c r="B998" s="52"/>
      <c r="C998" s="53"/>
      <c r="D998" s="53"/>
    </row>
    <row r="999" ht="15.75" customHeight="1">
      <c r="B999" s="52"/>
      <c r="C999" s="53"/>
      <c r="D999" s="53"/>
    </row>
    <row r="1000" ht="15.75" customHeight="1">
      <c r="B1000" s="52"/>
      <c r="C1000" s="53"/>
      <c r="D1000" s="53"/>
    </row>
    <row r="1001" ht="15.75" customHeight="1">
      <c r="B1001" s="52"/>
      <c r="C1001" s="53"/>
      <c r="D1001" s="53"/>
    </row>
  </sheetData>
  <mergeCells count="1">
    <mergeCell ref="B13:C13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1">
      <c r="A21" s="63" t="s">
        <v>195</v>
      </c>
      <c r="B21" s="69" t="s">
        <v>196</v>
      </c>
    </row>
  </sheetData>
  <hyperlinks>
    <hyperlink r:id="rId1" location="sv=CAMSVhoyKhBlLTlEVG5OSUxtY0lfZ2FNMg45RFRuTklMbWNJX2dhTToOR1hnTHNQMDNCZERyTE0gBCocCgZtb3NhaWMSEGUtOURUbk5JTG1jSV9nYU0YADABGAcgyNfKjQIwAkoKCAIQAhgCIAIoAg" ref="B21"/>
  </hyperlinks>
  <drawing r:id="rId2"/>
</worksheet>
</file>